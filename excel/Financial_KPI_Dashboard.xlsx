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Assumptions" sheetId="2" state="visible" r:id="rId4"/>
    <sheet name="Summary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<sst xmlns="http://schemas.openxmlformats.org/spreadsheetml/2006/main" count="1313" uniqueCount="52">
  <si>
    <t xml:space="preserve">Date</t>
  </si>
  <si>
    <t xml:space="preserve">Category</t>
  </si>
  <si>
    <t xml:space="preserve">Region</t>
  </si>
  <si>
    <t xml:space="preserve">Channel</t>
  </si>
  <si>
    <t xml:space="preserve">Amount</t>
  </si>
  <si>
    <t xml:space="preserve">Month</t>
  </si>
  <si>
    <t xml:space="preserve">Source: simulated transaction ledger for portfolio demonstration (see README).</t>
  </si>
  <si>
    <t xml:space="preserve">Revenue - Services</t>
  </si>
  <si>
    <t xml:space="preserve">West</t>
  </si>
  <si>
    <t xml:space="preserve">Card</t>
  </si>
  <si>
    <t xml:space="preserve">Check</t>
  </si>
  <si>
    <t xml:space="preserve">Revenue - Sales</t>
  </si>
  <si>
    <t xml:space="preserve">South</t>
  </si>
  <si>
    <t xml:space="preserve">Wire</t>
  </si>
  <si>
    <t xml:space="preserve">East</t>
  </si>
  <si>
    <t xml:space="preserve">ACH</t>
  </si>
  <si>
    <t xml:space="preserve">Professional Services</t>
  </si>
  <si>
    <t xml:space="preserve">Utilities</t>
  </si>
  <si>
    <t xml:space="preserve">North</t>
  </si>
  <si>
    <t xml:space="preserve">Payroll</t>
  </si>
  <si>
    <t xml:space="preserve">Travel</t>
  </si>
  <si>
    <t xml:space="preserve">Software/SaaS</t>
  </si>
  <si>
    <t xml:space="preserve">Office Supplies</t>
  </si>
  <si>
    <t xml:space="preserve">Rent</t>
  </si>
  <si>
    <t xml:space="preserve">Marketing</t>
  </si>
  <si>
    <t xml:space="preserve">Monthly Budget Assumptions</t>
  </si>
  <si>
    <t xml:space="preserve">Blue = input cell (edit here). Black = formula. Summary tab scales these x9 (Jan-Sep) to compare against actuals.</t>
  </si>
  <si>
    <t xml:space="preserve">Monthly Budget ($)</t>
  </si>
  <si>
    <t xml:space="preserve">Financial KPI Summary — Jan–Sep 2025</t>
  </si>
  <si>
    <t xml:space="preserve">All figures computed live via SUMIFS/INDEX-MATCH from the Transactions tab.</t>
  </si>
  <si>
    <t xml:space="preserve">Total Revenue</t>
  </si>
  <si>
    <t xml:space="preserve">Total Expenses</t>
  </si>
  <si>
    <t xml:space="preserve">Net Income</t>
  </si>
  <si>
    <t xml:space="preserve">Avg Monthly Burn</t>
  </si>
  <si>
    <t xml:space="preserve">Actual ($)</t>
  </si>
  <si>
    <t xml:space="preserve">Budget, 9-mo ($)</t>
  </si>
  <si>
    <t xml:space="preserve">Variance ($)</t>
  </si>
  <si>
    <t xml:space="preserve">Variance (%)</t>
  </si>
  <si>
    <t xml:space="preserve">Monthly Revenue vs. Expenses</t>
  </si>
  <si>
    <t xml:space="preserve">Revenue</t>
  </si>
  <si>
    <t xml:space="preserve">Expenses</t>
  </si>
  <si>
    <t xml:space="preserve">Jan-2025</t>
  </si>
  <si>
    <t xml:space="preserve">Feb-2025</t>
  </si>
  <si>
    <t xml:space="preserve">Mar-2025</t>
  </si>
  <si>
    <t xml:space="preserve">Apr-2025</t>
  </si>
  <si>
    <t xml:space="preserve">May-2025</t>
  </si>
  <si>
    <t xml:space="preserve">Jun-2025</t>
  </si>
  <si>
    <t xml:space="preserve">Jul-2025</t>
  </si>
  <si>
    <t xml:space="preserve">Aug-2025</t>
  </si>
  <si>
    <t xml:space="preserve">Sep-2025</t>
  </si>
  <si>
    <t xml:space="preserve">Executive Dashboard — Finance KPIs</t>
  </si>
  <si>
    <t xml:space="preserve">All charts are linked to the Summary tab and update automatically.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</si>
</sst>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$#,##0.00;&quot;($&quot;#,##0.00\)"/>
    <numFmt numFmtId="167" formatCode="\$#,##0;&quot;($&quot;#,##0\)"/>
    <numFmt numFmtId="168" formatCode="0.0%"/>
    <numFmt numFmtId="169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AA433F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CC8F8E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Actual vs. Budget by Expense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Summary!B9</c:f>
              <c:strCache>
                <c:ptCount val="1"/>
                <c:pt idx="0">
                  <c:v>Actual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Summary!$A$10:$A$17</c:f>
              <c:strCache>
                <c:ptCount val="8"/>
                <c:pt idx="0">
                  <c:v>Payroll</c:v>
                </c:pt>
                <c:pt idx="1">
                  <c:v>Rent</c:v>
                </c:pt>
                <c:pt idx="2">
                  <c:v>Marketing</c:v>
                </c:pt>
                <c:pt idx="3">
                  <c:v>Software/SaaS</c:v>
                </c:pt>
                <c:pt idx="4">
                  <c:v>Travel</c:v>
                </c:pt>
                <c:pt idx="5">
                  <c:v>Office Supplies</c:v>
                </c:pt>
                <c:pt idx="6">
                  <c:v>Professional Services</c:v>
                </c:pt>
                <c:pt idx="7">
                  <c:v>Utilities</c:v>
                </c:pt>
              </c:strCache>
            </c:strRef>
          </c:cat>
          <c:val>
            <c:numRef>
              <c:f>Summary!$B$10:$B$17</c:f>
              <c:numCache>
                <c:formatCode>\$#,##0;"($"#,##0\)</c:formatCode>
                <c:ptCount val="8"/>
                <c:pt idx="0">
                  <c:v>-172136.27</c:v>
                </c:pt>
                <c:pt idx="1">
                  <c:v>-63242.94</c:v>
                </c:pt>
                <c:pt idx="2">
                  <c:v>-100476</c:v>
                </c:pt>
                <c:pt idx="3">
                  <c:v>-80513.48</c:v>
                </c:pt>
                <c:pt idx="4">
                  <c:v>-51974.82</c:v>
                </c:pt>
                <c:pt idx="5">
                  <c:v>-50747.29</c:v>
                </c:pt>
                <c:pt idx="6">
                  <c:v>-90585.22</c:v>
                </c:pt>
                <c:pt idx="7">
                  <c:v>-31638.51</c:v>
                </c:pt>
              </c:numCache>
            </c:numRef>
          </c:val>
        </c:ser>
        <c:ser>
          <c:idx val="1"/>
          <c:order val="1"/>
          <c:tx>
            <c:strRef>
              <c:f>Summary!C9</c:f>
              <c:strCache>
                <c:ptCount val="1"/>
                <c:pt idx="0">
                  <c:v>Budget, 9-mo ($)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Summary!$A$10:$A$17</c:f>
              <c:strCache>
                <c:ptCount val="8"/>
                <c:pt idx="0">
                  <c:v>Payroll</c:v>
                </c:pt>
                <c:pt idx="1">
                  <c:v>Rent</c:v>
                </c:pt>
                <c:pt idx="2">
                  <c:v>Marketing</c:v>
                </c:pt>
                <c:pt idx="3">
                  <c:v>Software/SaaS</c:v>
                </c:pt>
                <c:pt idx="4">
                  <c:v>Travel</c:v>
                </c:pt>
                <c:pt idx="5">
                  <c:v>Office Supplies</c:v>
                </c:pt>
                <c:pt idx="6">
                  <c:v>Professional Services</c:v>
                </c:pt>
                <c:pt idx="7">
                  <c:v>Utilities</c:v>
                </c:pt>
              </c:strCache>
            </c:strRef>
          </c:cat>
          <c:val>
            <c:numRef>
              <c:f>Summary!$C$10:$C$17</c:f>
              <c:numCache>
                <c:formatCode>\$#,##0;"($"#,##0\)</c:formatCode>
                <c:ptCount val="8"/>
                <c:pt idx="0">
                  <c:v>-171000</c:v>
                </c:pt>
                <c:pt idx="1">
                  <c:v>-67500</c:v>
                </c:pt>
                <c:pt idx="2">
                  <c:v>-103500</c:v>
                </c:pt>
                <c:pt idx="3">
                  <c:v>-85500</c:v>
                </c:pt>
                <c:pt idx="4">
                  <c:v>-55800</c:v>
                </c:pt>
                <c:pt idx="5">
                  <c:v>-61200</c:v>
                </c:pt>
                <c:pt idx="6">
                  <c:v>-99000</c:v>
                </c:pt>
                <c:pt idx="7">
                  <c:v>-37800</c:v>
                </c:pt>
              </c:numCache>
            </c:numRef>
          </c:val>
        </c:ser>
        <c:gapWidth val="150"/>
        <c:overlap val="0"/>
        <c:axId val="66910708"/>
        <c:axId val="74921043"/>
      </c:barChart>
      <c:catAx>
        <c:axId val="669107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21043"/>
        <c:crosses val="autoZero"/>
        <c:auto val="1"/>
        <c:lblAlgn val="ctr"/>
        <c:lblOffset val="100"/>
        <c:noMultiLvlLbl val="0"/>
      </c:catAx>
      <c:valAx>
        <c:axId val="749210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107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vs. Expenses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Summary!$A$22:$A$30</c:f>
              <c:strCache>
                <c:ptCount val="9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</c:strCache>
            </c:strRef>
          </c:cat>
          <c:val>
            <c:numRef>
              <c:f>Summary!$B$22:$B$30</c:f>
              <c:numCache>
                <c:formatCode>\$#,##0</c:formatCode>
                <c:ptCount val="9"/>
                <c:pt idx="0">
                  <c:v>178225.11</c:v>
                </c:pt>
                <c:pt idx="1">
                  <c:v>204406.12</c:v>
                </c:pt>
                <c:pt idx="2">
                  <c:v>131739.17</c:v>
                </c:pt>
                <c:pt idx="3">
                  <c:v>115018.07</c:v>
                </c:pt>
                <c:pt idx="4">
                  <c:v>213025.24</c:v>
                </c:pt>
                <c:pt idx="5">
                  <c:v>196832</c:v>
                </c:pt>
                <c:pt idx="6">
                  <c:v>194842.48</c:v>
                </c:pt>
                <c:pt idx="7">
                  <c:v>133552.37</c:v>
                </c:pt>
                <c:pt idx="8">
                  <c:v>113550.76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Summary!C21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Summary!$A$22:$A$30</c:f>
              <c:strCache>
                <c:ptCount val="9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</c:strCache>
            </c:strRef>
          </c:cat>
          <c:val>
            <c:numRef>
              <c:f>Summary!$C$22:$C$30</c:f>
              <c:numCache>
                <c:formatCode>\$#,##0;"($"#,##0\)</c:formatCode>
                <c:ptCount val="9"/>
                <c:pt idx="0">
                  <c:v>-86274</c:v>
                </c:pt>
                <c:pt idx="1">
                  <c:v>-70115.87</c:v>
                </c:pt>
                <c:pt idx="2">
                  <c:v>-68621.2</c:v>
                </c:pt>
                <c:pt idx="3">
                  <c:v>-68878.74</c:v>
                </c:pt>
                <c:pt idx="4">
                  <c:v>-67462.67</c:v>
                </c:pt>
                <c:pt idx="5">
                  <c:v>-50198.83</c:v>
                </c:pt>
                <c:pt idx="6">
                  <c:v>-69978.48</c:v>
                </c:pt>
                <c:pt idx="7">
                  <c:v>-101694.72</c:v>
                </c:pt>
                <c:pt idx="8">
                  <c:v>-72779.25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436228"/>
        <c:axId val="85970414"/>
      </c:lineChart>
      <c:catAx>
        <c:axId val="704362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70414"/>
        <c:crosses val="autoZero"/>
        <c:auto val="1"/>
        <c:lblAlgn val="ctr"/>
        <c:lblOffset val="100"/>
        <c:noMultiLvlLbl val="0"/>
      </c:catAx>
      <c:valAx>
        <c:axId val="859704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362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13</xdr:col>
      <xdr:colOff>314640</xdr:colOff>
      <xdr:row>23</xdr:row>
      <xdr:rowOff>90000</xdr:rowOff>
    </xdr:to>
    <xdr:graphicFrame>
      <xdr:nvGraphicFramePr>
        <xdr:cNvPr id="0" name="Chart 1"/>
        <xdr:cNvGraphicFramePr/>
      </xdr:nvGraphicFramePr>
      <xdr:xfrm>
        <a:off x="0" y="5716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131040</xdr:rowOff>
    </xdr:from>
    <xdr:to>
      <xdr:col>13</xdr:col>
      <xdr:colOff>314640</xdr:colOff>
      <xdr:row>43</xdr:row>
      <xdr:rowOff>90000</xdr:rowOff>
    </xdr:to>
    <xdr:graphicFrame>
      <xdr:nvGraphicFramePr>
        <xdr:cNvPr id="1" name="Chart 2"/>
        <xdr:cNvGraphicFramePr/>
      </xdr:nvGraphicFramePr>
      <xdr:xfrm>
        <a:off x="0" y="438156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customFormat="false" ht="15" hidden="false" customHeight="false" outlineLevel="0" collapsed="false">
      <c r="A2" s="3" t="n">
        <v>45658</v>
      </c>
      <c r="B2" s="4" t="s">
        <v>7</v>
      </c>
      <c r="C2" s="4" t="s">
        <v>8</v>
      </c>
      <c r="D2" s="4" t="s">
        <v>9</v>
      </c>
      <c r="E2" s="5" t="n">
        <v>5297.85</v>
      </c>
      <c r="F2" s="4" t="str">
        <f aca="false">TEXT(A2,"mmm-yyyy")</f>
        <v>Jan-2025</v>
      </c>
    </row>
    <row r="3" customFormat="false" ht="15" hidden="false" customHeight="false" outlineLevel="0" collapsed="false">
      <c r="A3" s="3" t="n">
        <v>45658</v>
      </c>
      <c r="B3" s="4" t="s">
        <v>7</v>
      </c>
      <c r="C3" s="4" t="s">
        <v>8</v>
      </c>
      <c r="D3" s="4" t="s">
        <v>10</v>
      </c>
      <c r="E3" s="5" t="n">
        <v>9501.94</v>
      </c>
      <c r="F3" s="4" t="str">
        <f aca="false">TEXT(A3,"mmm-yyyy")</f>
        <v>Jan-2025</v>
      </c>
    </row>
    <row r="4" customFormat="false" ht="15" hidden="false" customHeight="false" outlineLevel="0" collapsed="false">
      <c r="A4" s="3" t="n">
        <v>45659</v>
      </c>
      <c r="B4" s="4" t="s">
        <v>11</v>
      </c>
      <c r="C4" s="4" t="s">
        <v>12</v>
      </c>
      <c r="D4" s="4" t="s">
        <v>13</v>
      </c>
      <c r="E4" s="5" t="n">
        <v>6736.94</v>
      </c>
      <c r="F4" s="4" t="str">
        <f aca="false">TEXT(A4,"mmm-yyyy")</f>
        <v>Jan-2025</v>
      </c>
    </row>
    <row r="5" customFormat="false" ht="15" hidden="false" customHeight="false" outlineLevel="0" collapsed="false">
      <c r="A5" s="3" t="n">
        <v>45659</v>
      </c>
      <c r="B5" s="4" t="s">
        <v>11</v>
      </c>
      <c r="C5" s="4" t="s">
        <v>14</v>
      </c>
      <c r="D5" s="4" t="s">
        <v>15</v>
      </c>
      <c r="E5" s="5" t="n">
        <v>2973.5</v>
      </c>
      <c r="F5" s="4" t="str">
        <f aca="false">TEXT(A5,"mmm-yyyy")</f>
        <v>Jan-2025</v>
      </c>
    </row>
    <row r="6" customFormat="false" ht="15" hidden="false" customHeight="false" outlineLevel="0" collapsed="false">
      <c r="A6" s="3" t="n">
        <v>45660</v>
      </c>
      <c r="B6" s="4" t="s">
        <v>16</v>
      </c>
      <c r="C6" s="4" t="s">
        <v>14</v>
      </c>
      <c r="D6" s="4" t="s">
        <v>9</v>
      </c>
      <c r="E6" s="5" t="n">
        <v>-4802.01</v>
      </c>
      <c r="F6" s="4" t="str">
        <f aca="false">TEXT(A6,"mmm-yyyy")</f>
        <v>Jan-2025</v>
      </c>
    </row>
    <row r="7" customFormat="false" ht="15" hidden="false" customHeight="false" outlineLevel="0" collapsed="false">
      <c r="A7" s="3" t="n">
        <v>45660</v>
      </c>
      <c r="B7" s="4" t="s">
        <v>17</v>
      </c>
      <c r="C7" s="4" t="s">
        <v>18</v>
      </c>
      <c r="D7" s="4" t="s">
        <v>9</v>
      </c>
      <c r="E7" s="5" t="n">
        <v>-5111.2</v>
      </c>
      <c r="F7" s="4" t="str">
        <f aca="false">TEXT(A7,"mmm-yyyy")</f>
        <v>Jan-2025</v>
      </c>
    </row>
    <row r="8" customFormat="false" ht="15" hidden="false" customHeight="false" outlineLevel="0" collapsed="false">
      <c r="A8" s="3" t="n">
        <v>45661</v>
      </c>
      <c r="B8" s="4" t="s">
        <v>11</v>
      </c>
      <c r="C8" s="4" t="s">
        <v>8</v>
      </c>
      <c r="D8" s="4" t="s">
        <v>10</v>
      </c>
      <c r="E8" s="5" t="n">
        <v>7232.31</v>
      </c>
      <c r="F8" s="4" t="str">
        <f aca="false">TEXT(A8,"mmm-yyyy")</f>
        <v>Jan-2025</v>
      </c>
    </row>
    <row r="9" customFormat="false" ht="15" hidden="false" customHeight="false" outlineLevel="0" collapsed="false">
      <c r="A9" s="3" t="n">
        <v>45662</v>
      </c>
      <c r="B9" s="4" t="s">
        <v>19</v>
      </c>
      <c r="C9" s="4" t="s">
        <v>14</v>
      </c>
      <c r="D9" s="4" t="s">
        <v>13</v>
      </c>
      <c r="E9" s="5" t="n">
        <v>-4043.69</v>
      </c>
      <c r="F9" s="4" t="str">
        <f aca="false">TEXT(A9,"mmm-yyyy")</f>
        <v>Jan-2025</v>
      </c>
    </row>
    <row r="10" customFormat="false" ht="15" hidden="false" customHeight="false" outlineLevel="0" collapsed="false">
      <c r="A10" s="3" t="n">
        <v>45662</v>
      </c>
      <c r="B10" s="4" t="s">
        <v>11</v>
      </c>
      <c r="C10" s="4" t="s">
        <v>12</v>
      </c>
      <c r="D10" s="4" t="s">
        <v>15</v>
      </c>
      <c r="E10" s="5" t="n">
        <v>9544.24</v>
      </c>
      <c r="F10" s="4" t="str">
        <f aca="false">TEXT(A10,"mmm-yyyy")</f>
        <v>Jan-2025</v>
      </c>
    </row>
    <row r="11" customFormat="false" ht="15" hidden="false" customHeight="false" outlineLevel="0" collapsed="false">
      <c r="A11" s="3" t="n">
        <v>45663</v>
      </c>
      <c r="B11" s="4" t="s">
        <v>20</v>
      </c>
      <c r="C11" s="4" t="s">
        <v>8</v>
      </c>
      <c r="D11" s="4" t="s">
        <v>9</v>
      </c>
      <c r="E11" s="5" t="n">
        <v>-2178.73</v>
      </c>
      <c r="F11" s="4" t="str">
        <f aca="false">TEXT(A11,"mmm-yyyy")</f>
        <v>Jan-2025</v>
      </c>
    </row>
    <row r="12" customFormat="false" ht="15" hidden="false" customHeight="false" outlineLevel="0" collapsed="false">
      <c r="A12" s="3" t="n">
        <v>45664</v>
      </c>
      <c r="B12" s="4" t="s">
        <v>20</v>
      </c>
      <c r="C12" s="4" t="s">
        <v>14</v>
      </c>
      <c r="D12" s="4" t="s">
        <v>13</v>
      </c>
      <c r="E12" s="5" t="n">
        <v>-2422.98</v>
      </c>
      <c r="F12" s="4" t="str">
        <f aca="false">TEXT(A12,"mmm-yyyy")</f>
        <v>Jan-2025</v>
      </c>
    </row>
    <row r="13" customFormat="false" ht="15" hidden="false" customHeight="false" outlineLevel="0" collapsed="false">
      <c r="A13" s="3" t="n">
        <v>45664</v>
      </c>
      <c r="B13" s="4" t="s">
        <v>21</v>
      </c>
      <c r="C13" s="4" t="s">
        <v>12</v>
      </c>
      <c r="D13" s="4" t="s">
        <v>13</v>
      </c>
      <c r="E13" s="5" t="n">
        <v>-2634.58</v>
      </c>
      <c r="F13" s="4" t="str">
        <f aca="false">TEXT(A13,"mmm-yyyy")</f>
        <v>Jan-2025</v>
      </c>
    </row>
    <row r="14" customFormat="false" ht="15" hidden="false" customHeight="false" outlineLevel="0" collapsed="false">
      <c r="A14" s="3" t="n">
        <v>45665</v>
      </c>
      <c r="B14" s="4" t="s">
        <v>22</v>
      </c>
      <c r="C14" s="4" t="s">
        <v>18</v>
      </c>
      <c r="D14" s="4" t="s">
        <v>9</v>
      </c>
      <c r="E14" s="5" t="n">
        <v>-304.95</v>
      </c>
      <c r="F14" s="4" t="str">
        <f aca="false">TEXT(A14,"mmm-yyyy")</f>
        <v>Jan-2025</v>
      </c>
    </row>
    <row r="15" customFormat="false" ht="15" hidden="false" customHeight="false" outlineLevel="0" collapsed="false">
      <c r="A15" s="3" t="n">
        <v>45665</v>
      </c>
      <c r="B15" s="4" t="s">
        <v>7</v>
      </c>
      <c r="C15" s="4" t="s">
        <v>12</v>
      </c>
      <c r="D15" s="4" t="s">
        <v>9</v>
      </c>
      <c r="E15" s="5" t="n">
        <v>10234.64</v>
      </c>
      <c r="F15" s="4" t="str">
        <f aca="false">TEXT(A15,"mmm-yyyy")</f>
        <v>Jan-2025</v>
      </c>
    </row>
    <row r="16" customFormat="false" ht="15" hidden="false" customHeight="false" outlineLevel="0" collapsed="false">
      <c r="A16" s="3" t="n">
        <v>45665</v>
      </c>
      <c r="B16" s="4" t="s">
        <v>23</v>
      </c>
      <c r="C16" s="4" t="s">
        <v>12</v>
      </c>
      <c r="D16" s="4" t="s">
        <v>15</v>
      </c>
      <c r="E16" s="5" t="n">
        <v>-4742.54</v>
      </c>
      <c r="F16" s="4" t="str">
        <f aca="false">TEXT(A16,"mmm-yyyy")</f>
        <v>Jan-2025</v>
      </c>
    </row>
    <row r="17" customFormat="false" ht="15" hidden="false" customHeight="false" outlineLevel="0" collapsed="false">
      <c r="A17" s="3" t="n">
        <v>45667</v>
      </c>
      <c r="B17" s="4" t="s">
        <v>23</v>
      </c>
      <c r="C17" s="4" t="s">
        <v>8</v>
      </c>
      <c r="D17" s="4" t="s">
        <v>15</v>
      </c>
      <c r="E17" s="5" t="n">
        <v>644.74</v>
      </c>
      <c r="F17" s="4" t="str">
        <f aca="false">TEXT(A17,"mmm-yyyy")</f>
        <v>Jan-2025</v>
      </c>
    </row>
    <row r="18" customFormat="false" ht="15" hidden="false" customHeight="false" outlineLevel="0" collapsed="false">
      <c r="A18" s="3" t="n">
        <v>45667</v>
      </c>
      <c r="B18" s="4" t="s">
        <v>19</v>
      </c>
      <c r="C18" s="4" t="s">
        <v>18</v>
      </c>
      <c r="D18" s="4" t="s">
        <v>15</v>
      </c>
      <c r="E18" s="5" t="n">
        <v>-1758.37</v>
      </c>
      <c r="F18" s="4" t="str">
        <f aca="false">TEXT(A18,"mmm-yyyy")</f>
        <v>Jan-2025</v>
      </c>
    </row>
    <row r="19" customFormat="false" ht="15" hidden="false" customHeight="false" outlineLevel="0" collapsed="false">
      <c r="A19" s="3" t="n">
        <v>45667</v>
      </c>
      <c r="B19" s="4" t="s">
        <v>16</v>
      </c>
      <c r="C19" s="4" t="s">
        <v>8</v>
      </c>
      <c r="D19" s="4" t="s">
        <v>9</v>
      </c>
      <c r="E19" s="5" t="n">
        <v>-4604.28</v>
      </c>
      <c r="F19" s="4" t="str">
        <f aca="false">TEXT(A19,"mmm-yyyy")</f>
        <v>Jan-2025</v>
      </c>
    </row>
    <row r="20" customFormat="false" ht="15" hidden="false" customHeight="false" outlineLevel="0" collapsed="false">
      <c r="A20" s="3" t="n">
        <v>45667</v>
      </c>
      <c r="B20" s="4" t="s">
        <v>11</v>
      </c>
      <c r="C20" s="4" t="s">
        <v>18</v>
      </c>
      <c r="D20" s="4" t="s">
        <v>9</v>
      </c>
      <c r="E20" s="5" t="n">
        <v>11327.64</v>
      </c>
      <c r="F20" s="4" t="str">
        <f aca="false">TEXT(A20,"mmm-yyyy")</f>
        <v>Jan-2025</v>
      </c>
    </row>
    <row r="21" customFormat="false" ht="15" hidden="false" customHeight="false" outlineLevel="0" collapsed="false">
      <c r="A21" s="3" t="n">
        <v>45667</v>
      </c>
      <c r="B21" s="4" t="s">
        <v>16</v>
      </c>
      <c r="C21" s="4" t="s">
        <v>8</v>
      </c>
      <c r="D21" s="4" t="s">
        <v>9</v>
      </c>
      <c r="E21" s="5" t="n">
        <v>-2798.96</v>
      </c>
      <c r="F21" s="4" t="str">
        <f aca="false">TEXT(A21,"mmm-yyyy")</f>
        <v>Jan-2025</v>
      </c>
    </row>
    <row r="22" customFormat="false" ht="15" hidden="false" customHeight="false" outlineLevel="0" collapsed="false">
      <c r="A22" s="3" t="n">
        <v>45668</v>
      </c>
      <c r="B22" s="4" t="s">
        <v>21</v>
      </c>
      <c r="C22" s="4" t="s">
        <v>14</v>
      </c>
      <c r="D22" s="4" t="s">
        <v>9</v>
      </c>
      <c r="E22" s="5" t="n">
        <v>-875.58</v>
      </c>
      <c r="F22" s="4" t="str">
        <f aca="false">TEXT(A22,"mmm-yyyy")</f>
        <v>Jan-2025</v>
      </c>
    </row>
    <row r="23" customFormat="false" ht="15" hidden="false" customHeight="false" outlineLevel="0" collapsed="false">
      <c r="A23" s="3" t="n">
        <v>45668</v>
      </c>
      <c r="B23" s="4" t="s">
        <v>22</v>
      </c>
      <c r="C23" s="4" t="s">
        <v>8</v>
      </c>
      <c r="D23" s="4" t="s">
        <v>9</v>
      </c>
      <c r="E23" s="5" t="n">
        <v>-3679.34</v>
      </c>
      <c r="F23" s="4" t="str">
        <f aca="false">TEXT(A23,"mmm-yyyy")</f>
        <v>Jan-2025</v>
      </c>
    </row>
    <row r="24" customFormat="false" ht="15" hidden="false" customHeight="false" outlineLevel="0" collapsed="false">
      <c r="A24" s="3" t="n">
        <v>45671</v>
      </c>
      <c r="B24" s="4" t="s">
        <v>7</v>
      </c>
      <c r="C24" s="4" t="s">
        <v>18</v>
      </c>
      <c r="D24" s="4" t="s">
        <v>15</v>
      </c>
      <c r="E24" s="5" t="n">
        <v>16470.9</v>
      </c>
      <c r="F24" s="4" t="str">
        <f aca="false">TEXT(A24,"mmm-yyyy")</f>
        <v>Jan-2025</v>
      </c>
    </row>
    <row r="25" customFormat="false" ht="15" hidden="false" customHeight="false" outlineLevel="0" collapsed="false">
      <c r="A25" s="3" t="n">
        <v>45672</v>
      </c>
      <c r="B25" s="4" t="s">
        <v>11</v>
      </c>
      <c r="C25" s="4" t="s">
        <v>18</v>
      </c>
      <c r="D25" s="4" t="s">
        <v>13</v>
      </c>
      <c r="E25" s="5" t="n">
        <v>13266.14</v>
      </c>
      <c r="F25" s="4" t="str">
        <f aca="false">TEXT(A25,"mmm-yyyy")</f>
        <v>Jan-2025</v>
      </c>
    </row>
    <row r="26" customFormat="false" ht="15" hidden="false" customHeight="false" outlineLevel="0" collapsed="false">
      <c r="A26" s="3" t="n">
        <v>45674</v>
      </c>
      <c r="B26" s="4" t="s">
        <v>7</v>
      </c>
      <c r="C26" s="4" t="s">
        <v>14</v>
      </c>
      <c r="D26" s="4" t="s">
        <v>15</v>
      </c>
      <c r="E26" s="5" t="n">
        <v>9331.63</v>
      </c>
      <c r="F26" s="4" t="str">
        <f aca="false">TEXT(A26,"mmm-yyyy")</f>
        <v>Jan-2025</v>
      </c>
    </row>
    <row r="27" customFormat="false" ht="15" hidden="false" customHeight="false" outlineLevel="0" collapsed="false">
      <c r="A27" s="3" t="n">
        <v>45674</v>
      </c>
      <c r="B27" s="4" t="s">
        <v>11</v>
      </c>
      <c r="C27" s="4" t="s">
        <v>8</v>
      </c>
      <c r="D27" s="4" t="s">
        <v>10</v>
      </c>
      <c r="E27" s="5" t="n">
        <v>10878.36</v>
      </c>
      <c r="F27" s="4" t="str">
        <f aca="false">TEXT(A27,"mmm-yyyy")</f>
        <v>Jan-2025</v>
      </c>
    </row>
    <row r="28" customFormat="false" ht="15" hidden="false" customHeight="false" outlineLevel="0" collapsed="false">
      <c r="A28" s="3" t="n">
        <v>45675</v>
      </c>
      <c r="B28" s="4" t="s">
        <v>24</v>
      </c>
      <c r="C28" s="4" t="s">
        <v>18</v>
      </c>
      <c r="D28" s="4" t="s">
        <v>15</v>
      </c>
      <c r="E28" s="5" t="n">
        <v>426.26</v>
      </c>
      <c r="F28" s="4" t="str">
        <f aca="false">TEXT(A28,"mmm-yyyy")</f>
        <v>Jan-2025</v>
      </c>
    </row>
    <row r="29" customFormat="false" ht="15" hidden="false" customHeight="false" outlineLevel="0" collapsed="false">
      <c r="A29" s="3" t="n">
        <v>45676</v>
      </c>
      <c r="B29" s="4" t="s">
        <v>11</v>
      </c>
      <c r="C29" s="4" t="s">
        <v>14</v>
      </c>
      <c r="D29" s="4" t="s">
        <v>9</v>
      </c>
      <c r="E29" s="5" t="n">
        <v>3783.26</v>
      </c>
      <c r="F29" s="4" t="str">
        <f aca="false">TEXT(A29,"mmm-yyyy")</f>
        <v>Jan-2025</v>
      </c>
    </row>
    <row r="30" customFormat="false" ht="15" hidden="false" customHeight="false" outlineLevel="0" collapsed="false">
      <c r="A30" s="3" t="n">
        <v>45676</v>
      </c>
      <c r="B30" s="4" t="s">
        <v>21</v>
      </c>
      <c r="C30" s="4" t="s">
        <v>18</v>
      </c>
      <c r="D30" s="4" t="s">
        <v>15</v>
      </c>
      <c r="E30" s="5" t="n">
        <v>-4029.75</v>
      </c>
      <c r="F30" s="4" t="str">
        <f aca="false">TEXT(A30,"mmm-yyyy")</f>
        <v>Jan-2025</v>
      </c>
    </row>
    <row r="31" customFormat="false" ht="15" hidden="false" customHeight="false" outlineLevel="0" collapsed="false">
      <c r="A31" s="3" t="n">
        <v>45677</v>
      </c>
      <c r="B31" s="4" t="s">
        <v>20</v>
      </c>
      <c r="C31" s="4" t="s">
        <v>18</v>
      </c>
      <c r="D31" s="4" t="s">
        <v>15</v>
      </c>
      <c r="E31" s="5" t="n">
        <v>-3549.24</v>
      </c>
      <c r="F31" s="4" t="str">
        <f aca="false">TEXT(A31,"mmm-yyyy")</f>
        <v>Jan-2025</v>
      </c>
    </row>
    <row r="32" customFormat="false" ht="15" hidden="false" customHeight="false" outlineLevel="0" collapsed="false">
      <c r="A32" s="3" t="n">
        <v>45677</v>
      </c>
      <c r="B32" s="4" t="s">
        <v>19</v>
      </c>
      <c r="C32" s="4" t="s">
        <v>18</v>
      </c>
      <c r="D32" s="4" t="s">
        <v>9</v>
      </c>
      <c r="E32" s="5" t="n">
        <v>-1855.97</v>
      </c>
      <c r="F32" s="4" t="str">
        <f aca="false">TEXT(A32,"mmm-yyyy")</f>
        <v>Jan-2025</v>
      </c>
    </row>
    <row r="33" customFormat="false" ht="15" hidden="false" customHeight="false" outlineLevel="0" collapsed="false">
      <c r="A33" s="3" t="n">
        <v>45677</v>
      </c>
      <c r="B33" s="4" t="s">
        <v>23</v>
      </c>
      <c r="C33" s="4" t="s">
        <v>18</v>
      </c>
      <c r="D33" s="4" t="s">
        <v>10</v>
      </c>
      <c r="E33" s="5" t="n">
        <v>-1995.85</v>
      </c>
      <c r="F33" s="4" t="str">
        <f aca="false">TEXT(A33,"mmm-yyyy")</f>
        <v>Jan-2025</v>
      </c>
    </row>
    <row r="34" customFormat="false" ht="15" hidden="false" customHeight="false" outlineLevel="0" collapsed="false">
      <c r="A34" s="3" t="n">
        <v>45678</v>
      </c>
      <c r="B34" s="4" t="s">
        <v>11</v>
      </c>
      <c r="C34" s="4" t="s">
        <v>14</v>
      </c>
      <c r="D34" s="4" t="s">
        <v>9</v>
      </c>
      <c r="E34" s="5" t="n">
        <v>9602.72</v>
      </c>
      <c r="F34" s="4" t="str">
        <f aca="false">TEXT(A34,"mmm-yyyy")</f>
        <v>Jan-2025</v>
      </c>
    </row>
    <row r="35" customFormat="false" ht="15" hidden="false" customHeight="false" outlineLevel="0" collapsed="false">
      <c r="A35" s="3" t="n">
        <v>45678</v>
      </c>
      <c r="B35" s="4" t="s">
        <v>23</v>
      </c>
      <c r="C35" s="4" t="s">
        <v>14</v>
      </c>
      <c r="D35" s="4" t="s">
        <v>15</v>
      </c>
      <c r="E35" s="5" t="n">
        <v>-2889.5</v>
      </c>
      <c r="F35" s="4" t="str">
        <f aca="false">TEXT(A35,"mmm-yyyy")</f>
        <v>Jan-2025</v>
      </c>
    </row>
    <row r="36" customFormat="false" ht="15" hidden="false" customHeight="false" outlineLevel="0" collapsed="false">
      <c r="A36" s="3" t="n">
        <v>45679</v>
      </c>
      <c r="B36" s="4" t="s">
        <v>23</v>
      </c>
      <c r="C36" s="4" t="s">
        <v>12</v>
      </c>
      <c r="D36" s="4" t="s">
        <v>13</v>
      </c>
      <c r="E36" s="5" t="n">
        <v>801.09</v>
      </c>
      <c r="F36" s="4" t="str">
        <f aca="false">TEXT(A36,"mmm-yyyy")</f>
        <v>Jan-2025</v>
      </c>
    </row>
    <row r="37" customFormat="false" ht="15" hidden="false" customHeight="false" outlineLevel="0" collapsed="false">
      <c r="A37" s="3" t="n">
        <v>45680</v>
      </c>
      <c r="B37" s="4" t="s">
        <v>16</v>
      </c>
      <c r="C37" s="4" t="s">
        <v>14</v>
      </c>
      <c r="D37" s="4" t="s">
        <v>15</v>
      </c>
      <c r="E37" s="5" t="n">
        <v>-2147.39</v>
      </c>
      <c r="F37" s="4" t="str">
        <f aca="false">TEXT(A37,"mmm-yyyy")</f>
        <v>Jan-2025</v>
      </c>
    </row>
    <row r="38" customFormat="false" ht="15" hidden="false" customHeight="false" outlineLevel="0" collapsed="false">
      <c r="A38" s="3" t="n">
        <v>45680</v>
      </c>
      <c r="B38" s="4" t="s">
        <v>11</v>
      </c>
      <c r="C38" s="4" t="s">
        <v>18</v>
      </c>
      <c r="D38" s="4" t="s">
        <v>15</v>
      </c>
      <c r="E38" s="5" t="n">
        <v>9977.61</v>
      </c>
      <c r="F38" s="4" t="str">
        <f aca="false">TEXT(A38,"mmm-yyyy")</f>
        <v>Jan-2025</v>
      </c>
    </row>
    <row r="39" customFormat="false" ht="15" hidden="false" customHeight="false" outlineLevel="0" collapsed="false">
      <c r="A39" s="3" t="n">
        <v>45680</v>
      </c>
      <c r="B39" s="4" t="s">
        <v>7</v>
      </c>
      <c r="C39" s="4" t="s">
        <v>12</v>
      </c>
      <c r="D39" s="4" t="s">
        <v>9</v>
      </c>
      <c r="E39" s="5" t="n">
        <v>14318.62</v>
      </c>
      <c r="F39" s="4" t="str">
        <f aca="false">TEXT(A39,"mmm-yyyy")</f>
        <v>Jan-2025</v>
      </c>
    </row>
    <row r="40" customFormat="false" ht="15" hidden="false" customHeight="false" outlineLevel="0" collapsed="false">
      <c r="A40" s="3" t="n">
        <v>45681</v>
      </c>
      <c r="B40" s="4" t="s">
        <v>7</v>
      </c>
      <c r="C40" s="4" t="s">
        <v>18</v>
      </c>
      <c r="D40" s="4" t="s">
        <v>15</v>
      </c>
      <c r="E40" s="5" t="n">
        <v>9895.31</v>
      </c>
      <c r="F40" s="4" t="str">
        <f aca="false">TEXT(A40,"mmm-yyyy")</f>
        <v>Jan-2025</v>
      </c>
    </row>
    <row r="41" customFormat="false" ht="15" hidden="false" customHeight="false" outlineLevel="0" collapsed="false">
      <c r="A41" s="3" t="n">
        <v>45682</v>
      </c>
      <c r="B41" s="4" t="s">
        <v>19</v>
      </c>
      <c r="C41" s="4" t="s">
        <v>12</v>
      </c>
      <c r="D41" s="4" t="s">
        <v>9</v>
      </c>
      <c r="E41" s="5" t="n">
        <v>-6584.33</v>
      </c>
      <c r="F41" s="4" t="str">
        <f aca="false">TEXT(A41,"mmm-yyyy")</f>
        <v>Jan-2025</v>
      </c>
    </row>
    <row r="42" customFormat="false" ht="15" hidden="false" customHeight="false" outlineLevel="0" collapsed="false">
      <c r="A42" s="3" t="n">
        <v>45682</v>
      </c>
      <c r="B42" s="4" t="s">
        <v>19</v>
      </c>
      <c r="C42" s="4" t="s">
        <v>14</v>
      </c>
      <c r="D42" s="4" t="s">
        <v>13</v>
      </c>
      <c r="E42" s="5" t="n">
        <v>-5394.7</v>
      </c>
      <c r="F42" s="4" t="str">
        <f aca="false">TEXT(A42,"mmm-yyyy")</f>
        <v>Jan-2025</v>
      </c>
    </row>
    <row r="43" customFormat="false" ht="15" hidden="false" customHeight="false" outlineLevel="0" collapsed="false">
      <c r="A43" s="3" t="n">
        <v>45682</v>
      </c>
      <c r="B43" s="4" t="s">
        <v>23</v>
      </c>
      <c r="C43" s="4" t="s">
        <v>12</v>
      </c>
      <c r="D43" s="4" t="s">
        <v>15</v>
      </c>
      <c r="E43" s="5" t="n">
        <v>-2148.91</v>
      </c>
      <c r="F43" s="4" t="str">
        <f aca="false">TEXT(A43,"mmm-yyyy")</f>
        <v>Jan-2025</v>
      </c>
    </row>
    <row r="44" customFormat="false" ht="15" hidden="false" customHeight="false" outlineLevel="0" collapsed="false">
      <c r="A44" s="3" t="n">
        <v>45683</v>
      </c>
      <c r="B44" s="4" t="s">
        <v>19</v>
      </c>
      <c r="C44" s="4" t="s">
        <v>14</v>
      </c>
      <c r="D44" s="4" t="s">
        <v>13</v>
      </c>
      <c r="E44" s="5" t="n">
        <v>-3326.15</v>
      </c>
      <c r="F44" s="4" t="str">
        <f aca="false">TEXT(A44,"mmm-yyyy")</f>
        <v>Jan-2025</v>
      </c>
    </row>
    <row r="45" customFormat="false" ht="15" hidden="false" customHeight="false" outlineLevel="0" collapsed="false">
      <c r="A45" s="3" t="n">
        <v>45683</v>
      </c>
      <c r="B45" s="4" t="s">
        <v>23</v>
      </c>
      <c r="C45" s="4" t="s">
        <v>14</v>
      </c>
      <c r="D45" s="4" t="s">
        <v>15</v>
      </c>
      <c r="E45" s="5" t="n">
        <v>-5574.25</v>
      </c>
      <c r="F45" s="4" t="str">
        <f aca="false">TEXT(A45,"mmm-yyyy")</f>
        <v>Jan-2025</v>
      </c>
    </row>
    <row r="46" customFormat="false" ht="15" hidden="false" customHeight="false" outlineLevel="0" collapsed="false">
      <c r="A46" s="3" t="n">
        <v>45684</v>
      </c>
      <c r="B46" s="4" t="s">
        <v>7</v>
      </c>
      <c r="C46" s="4" t="s">
        <v>14</v>
      </c>
      <c r="D46" s="4" t="s">
        <v>10</v>
      </c>
      <c r="E46" s="5" t="n">
        <v>11421.05</v>
      </c>
      <c r="F46" s="4" t="str">
        <f aca="false">TEXT(A46,"mmm-yyyy")</f>
        <v>Jan-2025</v>
      </c>
    </row>
    <row r="47" customFormat="false" ht="15" hidden="false" customHeight="false" outlineLevel="0" collapsed="false">
      <c r="A47" s="3" t="n">
        <v>45684</v>
      </c>
      <c r="B47" s="4" t="s">
        <v>24</v>
      </c>
      <c r="C47" s="4" t="s">
        <v>18</v>
      </c>
      <c r="D47" s="4" t="s">
        <v>9</v>
      </c>
      <c r="E47" s="5" t="n">
        <v>-636.27</v>
      </c>
      <c r="F47" s="4" t="str">
        <f aca="false">TEXT(A47,"mmm-yyyy")</f>
        <v>Jan-2025</v>
      </c>
    </row>
    <row r="48" customFormat="false" ht="15" hidden="false" customHeight="false" outlineLevel="0" collapsed="false">
      <c r="A48" s="3" t="n">
        <v>45684</v>
      </c>
      <c r="B48" s="4" t="s">
        <v>17</v>
      </c>
      <c r="C48" s="4" t="s">
        <v>18</v>
      </c>
      <c r="D48" s="4" t="s">
        <v>9</v>
      </c>
      <c r="E48" s="5" t="n">
        <v>-1293.64</v>
      </c>
      <c r="F48" s="4" t="str">
        <f aca="false">TEXT(A48,"mmm-yyyy")</f>
        <v>Jan-2025</v>
      </c>
    </row>
    <row r="49" customFormat="false" ht="15" hidden="false" customHeight="false" outlineLevel="0" collapsed="false">
      <c r="A49" s="3" t="n">
        <v>45687</v>
      </c>
      <c r="B49" s="4" t="s">
        <v>20</v>
      </c>
      <c r="C49" s="4" t="s">
        <v>18</v>
      </c>
      <c r="D49" s="4" t="s">
        <v>10</v>
      </c>
      <c r="E49" s="5" t="n">
        <v>1340.44</v>
      </c>
      <c r="F49" s="4" t="str">
        <f aca="false">TEXT(A49,"mmm-yyyy")</f>
        <v>Jan-2025</v>
      </c>
    </row>
    <row r="50" customFormat="false" ht="15" hidden="false" customHeight="false" outlineLevel="0" collapsed="false">
      <c r="A50" s="3" t="n">
        <v>45687</v>
      </c>
      <c r="B50" s="4" t="s">
        <v>24</v>
      </c>
      <c r="C50" s="4" t="s">
        <v>12</v>
      </c>
      <c r="D50" s="4" t="s">
        <v>15</v>
      </c>
      <c r="E50" s="5" t="n">
        <v>-4890.84</v>
      </c>
      <c r="F50" s="4" t="str">
        <f aca="false">TEXT(A50,"mmm-yyyy")</f>
        <v>Jan-2025</v>
      </c>
    </row>
    <row r="51" customFormat="false" ht="15" hidden="false" customHeight="false" outlineLevel="0" collapsed="false">
      <c r="A51" s="3" t="n">
        <v>45687</v>
      </c>
      <c r="B51" s="4" t="s">
        <v>7</v>
      </c>
      <c r="C51" s="4" t="s">
        <v>18</v>
      </c>
      <c r="D51" s="4" t="s">
        <v>15</v>
      </c>
      <c r="E51" s="5" t="n">
        <v>6430.45</v>
      </c>
      <c r="F51" s="4" t="str">
        <f aca="false">TEXT(A51,"mmm-yyyy")</f>
        <v>Jan-2025</v>
      </c>
    </row>
    <row r="52" customFormat="false" ht="15" hidden="false" customHeight="false" outlineLevel="0" collapsed="false">
      <c r="A52" s="3" t="n">
        <v>45689</v>
      </c>
      <c r="B52" s="4" t="s">
        <v>22</v>
      </c>
      <c r="C52" s="4" t="s">
        <v>14</v>
      </c>
      <c r="D52" s="4" t="s">
        <v>13</v>
      </c>
      <c r="E52" s="5" t="n">
        <v>-5159.49</v>
      </c>
      <c r="F52" s="4" t="str">
        <f aca="false">TEXT(A52,"mmm-yyyy")</f>
        <v>Feb-2025</v>
      </c>
    </row>
    <row r="53" customFormat="false" ht="15" hidden="false" customHeight="false" outlineLevel="0" collapsed="false">
      <c r="A53" s="3" t="n">
        <v>45689</v>
      </c>
      <c r="B53" s="4" t="s">
        <v>24</v>
      </c>
      <c r="C53" s="4" t="s">
        <v>12</v>
      </c>
      <c r="D53" s="4" t="s">
        <v>9</v>
      </c>
      <c r="E53" s="5" t="n">
        <v>-1284.98</v>
      </c>
      <c r="F53" s="4" t="str">
        <f aca="false">TEXT(A53,"mmm-yyyy")</f>
        <v>Feb-2025</v>
      </c>
    </row>
    <row r="54" customFormat="false" ht="15" hidden="false" customHeight="false" outlineLevel="0" collapsed="false">
      <c r="A54" s="3" t="n">
        <v>45689</v>
      </c>
      <c r="B54" s="4" t="s">
        <v>24</v>
      </c>
      <c r="C54" s="4" t="s">
        <v>18</v>
      </c>
      <c r="D54" s="4" t="s">
        <v>15</v>
      </c>
      <c r="E54" s="5" t="n">
        <v>-1832.43</v>
      </c>
      <c r="F54" s="4" t="str">
        <f aca="false">TEXT(A54,"mmm-yyyy")</f>
        <v>Feb-2025</v>
      </c>
    </row>
    <row r="55" customFormat="false" ht="15" hidden="false" customHeight="false" outlineLevel="0" collapsed="false">
      <c r="A55" s="3" t="n">
        <v>45692</v>
      </c>
      <c r="B55" s="4" t="s">
        <v>7</v>
      </c>
      <c r="C55" s="4" t="s">
        <v>14</v>
      </c>
      <c r="D55" s="4" t="s">
        <v>9</v>
      </c>
      <c r="E55" s="5" t="n">
        <v>3839.84</v>
      </c>
      <c r="F55" s="4" t="str">
        <f aca="false">TEXT(A55,"mmm-yyyy")</f>
        <v>Feb-2025</v>
      </c>
    </row>
    <row r="56" customFormat="false" ht="15" hidden="false" customHeight="false" outlineLevel="0" collapsed="false">
      <c r="A56" s="3" t="n">
        <v>45693</v>
      </c>
      <c r="B56" s="4" t="s">
        <v>19</v>
      </c>
      <c r="C56" s="4" t="s">
        <v>14</v>
      </c>
      <c r="D56" s="4" t="s">
        <v>15</v>
      </c>
      <c r="E56" s="5" t="n">
        <v>-1898.8</v>
      </c>
      <c r="F56" s="4" t="str">
        <f aca="false">TEXT(A56,"mmm-yyyy")</f>
        <v>Feb-2025</v>
      </c>
    </row>
    <row r="57" customFormat="false" ht="15" hidden="false" customHeight="false" outlineLevel="0" collapsed="false">
      <c r="A57" s="3" t="n">
        <v>45693</v>
      </c>
      <c r="B57" s="4" t="s">
        <v>11</v>
      </c>
      <c r="C57" s="4" t="s">
        <v>14</v>
      </c>
      <c r="D57" s="4" t="s">
        <v>9</v>
      </c>
      <c r="E57" s="5" t="n">
        <v>7897.76</v>
      </c>
      <c r="F57" s="4" t="str">
        <f aca="false">TEXT(A57,"mmm-yyyy")</f>
        <v>Feb-2025</v>
      </c>
    </row>
    <row r="58" customFormat="false" ht="15" hidden="false" customHeight="false" outlineLevel="0" collapsed="false">
      <c r="A58" s="3" t="n">
        <v>45693</v>
      </c>
      <c r="B58" s="4" t="s">
        <v>11</v>
      </c>
      <c r="C58" s="4" t="s">
        <v>14</v>
      </c>
      <c r="D58" s="4" t="s">
        <v>9</v>
      </c>
      <c r="E58" s="5" t="n">
        <v>7929.66</v>
      </c>
      <c r="F58" s="4" t="str">
        <f aca="false">TEXT(A58,"mmm-yyyy")</f>
        <v>Feb-2025</v>
      </c>
    </row>
    <row r="59" customFormat="false" ht="15" hidden="false" customHeight="false" outlineLevel="0" collapsed="false">
      <c r="A59" s="3" t="n">
        <v>45693</v>
      </c>
      <c r="B59" s="4" t="s">
        <v>24</v>
      </c>
      <c r="C59" s="4" t="s">
        <v>12</v>
      </c>
      <c r="D59" s="4" t="s">
        <v>9</v>
      </c>
      <c r="E59" s="5" t="n">
        <v>-1066.35</v>
      </c>
      <c r="F59" s="4" t="str">
        <f aca="false">TEXT(A59,"mmm-yyyy")</f>
        <v>Feb-2025</v>
      </c>
    </row>
    <row r="60" customFormat="false" ht="15" hidden="false" customHeight="false" outlineLevel="0" collapsed="false">
      <c r="A60" s="3" t="n">
        <v>45693</v>
      </c>
      <c r="B60" s="4" t="s">
        <v>20</v>
      </c>
      <c r="C60" s="4" t="s">
        <v>12</v>
      </c>
      <c r="D60" s="4" t="s">
        <v>9</v>
      </c>
      <c r="E60" s="5" t="n">
        <v>-1913.11</v>
      </c>
      <c r="F60" s="4" t="str">
        <f aca="false">TEXT(A60,"mmm-yyyy")</f>
        <v>Feb-2025</v>
      </c>
    </row>
    <row r="61" customFormat="false" ht="15" hidden="false" customHeight="false" outlineLevel="0" collapsed="false">
      <c r="A61" s="3" t="n">
        <v>45694</v>
      </c>
      <c r="B61" s="4" t="s">
        <v>7</v>
      </c>
      <c r="C61" s="4" t="s">
        <v>18</v>
      </c>
      <c r="D61" s="4" t="s">
        <v>9</v>
      </c>
      <c r="E61" s="5" t="n">
        <v>616.08</v>
      </c>
      <c r="F61" s="4" t="str">
        <f aca="false">TEXT(A61,"mmm-yyyy")</f>
        <v>Feb-2025</v>
      </c>
    </row>
    <row r="62" customFormat="false" ht="15" hidden="false" customHeight="false" outlineLevel="0" collapsed="false">
      <c r="A62" s="3" t="n">
        <v>45694</v>
      </c>
      <c r="B62" s="4" t="s">
        <v>16</v>
      </c>
      <c r="C62" s="4" t="s">
        <v>12</v>
      </c>
      <c r="D62" s="4" t="s">
        <v>9</v>
      </c>
      <c r="E62" s="5" t="n">
        <v>-5053.01</v>
      </c>
      <c r="F62" s="4" t="str">
        <f aca="false">TEXT(A62,"mmm-yyyy")</f>
        <v>Feb-2025</v>
      </c>
    </row>
    <row r="63" customFormat="false" ht="15" hidden="false" customHeight="false" outlineLevel="0" collapsed="false">
      <c r="A63" s="3" t="n">
        <v>45695</v>
      </c>
      <c r="B63" s="4" t="s">
        <v>22</v>
      </c>
      <c r="C63" s="4" t="s">
        <v>14</v>
      </c>
      <c r="D63" s="4" t="s">
        <v>9</v>
      </c>
      <c r="E63" s="5" t="n">
        <v>-1758.68</v>
      </c>
      <c r="F63" s="4" t="str">
        <f aca="false">TEXT(A63,"mmm-yyyy")</f>
        <v>Feb-2025</v>
      </c>
    </row>
    <row r="64" customFormat="false" ht="15" hidden="false" customHeight="false" outlineLevel="0" collapsed="false">
      <c r="A64" s="3" t="n">
        <v>45695</v>
      </c>
      <c r="B64" s="4" t="s">
        <v>19</v>
      </c>
      <c r="C64" s="4" t="s">
        <v>12</v>
      </c>
      <c r="D64" s="4" t="s">
        <v>15</v>
      </c>
      <c r="E64" s="5" t="n">
        <v>-5548.3</v>
      </c>
      <c r="F64" s="4" t="str">
        <f aca="false">TEXT(A64,"mmm-yyyy")</f>
        <v>Feb-2025</v>
      </c>
    </row>
    <row r="65" customFormat="false" ht="15" hidden="false" customHeight="false" outlineLevel="0" collapsed="false">
      <c r="A65" s="3" t="n">
        <v>45695</v>
      </c>
      <c r="B65" s="4" t="s">
        <v>21</v>
      </c>
      <c r="C65" s="4" t="s">
        <v>12</v>
      </c>
      <c r="D65" s="4" t="s">
        <v>15</v>
      </c>
      <c r="E65" s="5" t="n">
        <v>-1092.8</v>
      </c>
      <c r="F65" s="4" t="str">
        <f aca="false">TEXT(A65,"mmm-yyyy")</f>
        <v>Feb-2025</v>
      </c>
    </row>
    <row r="66" customFormat="false" ht="15" hidden="false" customHeight="false" outlineLevel="0" collapsed="false">
      <c r="A66" s="3" t="n">
        <v>45695</v>
      </c>
      <c r="B66" s="4" t="s">
        <v>7</v>
      </c>
      <c r="C66" s="4" t="s">
        <v>14</v>
      </c>
      <c r="D66" s="4" t="s">
        <v>15</v>
      </c>
      <c r="E66" s="5" t="n">
        <v>8339.9</v>
      </c>
      <c r="F66" s="4" t="str">
        <f aca="false">TEXT(A66,"mmm-yyyy")</f>
        <v>Feb-2025</v>
      </c>
    </row>
    <row r="67" customFormat="false" ht="15" hidden="false" customHeight="false" outlineLevel="0" collapsed="false">
      <c r="A67" s="3" t="n">
        <v>45696</v>
      </c>
      <c r="B67" s="4" t="s">
        <v>7</v>
      </c>
      <c r="C67" s="4" t="s">
        <v>8</v>
      </c>
      <c r="D67" s="4" t="s">
        <v>9</v>
      </c>
      <c r="E67" s="5" t="n">
        <v>9728.08</v>
      </c>
      <c r="F67" s="4" t="str">
        <f aca="false">TEXT(A67,"mmm-yyyy")</f>
        <v>Feb-2025</v>
      </c>
    </row>
    <row r="68" customFormat="false" ht="15" hidden="false" customHeight="false" outlineLevel="0" collapsed="false">
      <c r="A68" s="3" t="n">
        <v>45696</v>
      </c>
      <c r="B68" s="4" t="s">
        <v>21</v>
      </c>
      <c r="C68" s="4" t="s">
        <v>8</v>
      </c>
      <c r="D68" s="4" t="s">
        <v>10</v>
      </c>
      <c r="E68" s="5" t="n">
        <v>-2398.17</v>
      </c>
      <c r="F68" s="4" t="str">
        <f aca="false">TEXT(A68,"mmm-yyyy")</f>
        <v>Feb-2025</v>
      </c>
    </row>
    <row r="69" customFormat="false" ht="15" hidden="false" customHeight="false" outlineLevel="0" collapsed="false">
      <c r="A69" s="3" t="n">
        <v>45697</v>
      </c>
      <c r="B69" s="4" t="s">
        <v>20</v>
      </c>
      <c r="C69" s="4" t="s">
        <v>12</v>
      </c>
      <c r="D69" s="4" t="s">
        <v>15</v>
      </c>
      <c r="E69" s="5" t="n">
        <v>-4082.05</v>
      </c>
      <c r="F69" s="4" t="str">
        <f aca="false">TEXT(A69,"mmm-yyyy")</f>
        <v>Feb-2025</v>
      </c>
    </row>
    <row r="70" customFormat="false" ht="15" hidden="false" customHeight="false" outlineLevel="0" collapsed="false">
      <c r="A70" s="3" t="n">
        <v>45697</v>
      </c>
      <c r="B70" s="4" t="s">
        <v>11</v>
      </c>
      <c r="C70" s="4" t="s">
        <v>14</v>
      </c>
      <c r="D70" s="4" t="s">
        <v>15</v>
      </c>
      <c r="E70" s="5" t="n">
        <v>8944.87</v>
      </c>
      <c r="F70" s="4" t="str">
        <f aca="false">TEXT(A70,"mmm-yyyy")</f>
        <v>Feb-2025</v>
      </c>
    </row>
    <row r="71" customFormat="false" ht="15" hidden="false" customHeight="false" outlineLevel="0" collapsed="false">
      <c r="A71" s="3" t="n">
        <v>45697</v>
      </c>
      <c r="B71" s="4" t="s">
        <v>7</v>
      </c>
      <c r="C71" s="4" t="s">
        <v>8</v>
      </c>
      <c r="D71" s="4" t="s">
        <v>9</v>
      </c>
      <c r="E71" s="5" t="n">
        <v>5478.12</v>
      </c>
      <c r="F71" s="4" t="str">
        <f aca="false">TEXT(A71,"mmm-yyyy")</f>
        <v>Feb-2025</v>
      </c>
    </row>
    <row r="72" customFormat="false" ht="15" hidden="false" customHeight="false" outlineLevel="0" collapsed="false">
      <c r="A72" s="3" t="n">
        <v>45697</v>
      </c>
      <c r="B72" s="4" t="s">
        <v>11</v>
      </c>
      <c r="C72" s="4" t="s">
        <v>8</v>
      </c>
      <c r="D72" s="4" t="s">
        <v>9</v>
      </c>
      <c r="E72" s="5" t="n">
        <v>7652.13</v>
      </c>
      <c r="F72" s="4" t="str">
        <f aca="false">TEXT(A72,"mmm-yyyy")</f>
        <v>Feb-2025</v>
      </c>
    </row>
    <row r="73" customFormat="false" ht="15" hidden="false" customHeight="false" outlineLevel="0" collapsed="false">
      <c r="A73" s="3" t="n">
        <v>45698</v>
      </c>
      <c r="B73" s="4" t="s">
        <v>11</v>
      </c>
      <c r="C73" s="4" t="s">
        <v>8</v>
      </c>
      <c r="D73" s="4" t="s">
        <v>9</v>
      </c>
      <c r="E73" s="5" t="n">
        <v>10886.9</v>
      </c>
      <c r="F73" s="4" t="str">
        <f aca="false">TEXT(A73,"mmm-yyyy")</f>
        <v>Feb-2025</v>
      </c>
    </row>
    <row r="74" customFormat="false" ht="15" hidden="false" customHeight="false" outlineLevel="0" collapsed="false">
      <c r="A74" s="3" t="n">
        <v>45698</v>
      </c>
      <c r="B74" s="4" t="s">
        <v>7</v>
      </c>
      <c r="C74" s="4" t="s">
        <v>8</v>
      </c>
      <c r="D74" s="4" t="s">
        <v>9</v>
      </c>
      <c r="E74" s="5" t="n">
        <v>13821.38</v>
      </c>
      <c r="F74" s="4" t="str">
        <f aca="false">TEXT(A74,"mmm-yyyy")</f>
        <v>Feb-2025</v>
      </c>
    </row>
    <row r="75" customFormat="false" ht="15" hidden="false" customHeight="false" outlineLevel="0" collapsed="false">
      <c r="A75" s="3" t="n">
        <v>45698</v>
      </c>
      <c r="B75" s="4" t="s">
        <v>19</v>
      </c>
      <c r="C75" s="4" t="s">
        <v>12</v>
      </c>
      <c r="D75" s="4" t="s">
        <v>9</v>
      </c>
      <c r="E75" s="5" t="n">
        <v>-2628.37</v>
      </c>
      <c r="F75" s="4" t="str">
        <f aca="false">TEXT(A75,"mmm-yyyy")</f>
        <v>Feb-2025</v>
      </c>
    </row>
    <row r="76" customFormat="false" ht="15" hidden="false" customHeight="false" outlineLevel="0" collapsed="false">
      <c r="A76" s="3" t="n">
        <v>45698</v>
      </c>
      <c r="B76" s="4" t="s">
        <v>7</v>
      </c>
      <c r="C76" s="4" t="s">
        <v>14</v>
      </c>
      <c r="D76" s="4" t="s">
        <v>15</v>
      </c>
      <c r="E76" s="5" t="n">
        <v>7379.31</v>
      </c>
      <c r="F76" s="4" t="str">
        <f aca="false">TEXT(A76,"mmm-yyyy")</f>
        <v>Feb-2025</v>
      </c>
    </row>
    <row r="77" customFormat="false" ht="15" hidden="false" customHeight="false" outlineLevel="0" collapsed="false">
      <c r="A77" s="3" t="n">
        <v>45699</v>
      </c>
      <c r="B77" s="4" t="s">
        <v>7</v>
      </c>
      <c r="C77" s="4" t="s">
        <v>14</v>
      </c>
      <c r="D77" s="4" t="s">
        <v>9</v>
      </c>
      <c r="E77" s="5" t="n">
        <v>4095.33</v>
      </c>
      <c r="F77" s="4" t="str">
        <f aca="false">TEXT(A77,"mmm-yyyy")</f>
        <v>Feb-2025</v>
      </c>
    </row>
    <row r="78" customFormat="false" ht="15" hidden="false" customHeight="false" outlineLevel="0" collapsed="false">
      <c r="A78" s="3" t="n">
        <v>45700</v>
      </c>
      <c r="B78" s="4" t="s">
        <v>7</v>
      </c>
      <c r="C78" s="4" t="s">
        <v>14</v>
      </c>
      <c r="D78" s="4" t="s">
        <v>9</v>
      </c>
      <c r="E78" s="5" t="n">
        <v>12888.45</v>
      </c>
      <c r="F78" s="4" t="str">
        <f aca="false">TEXT(A78,"mmm-yyyy")</f>
        <v>Feb-2025</v>
      </c>
    </row>
    <row r="79" customFormat="false" ht="15" hidden="false" customHeight="false" outlineLevel="0" collapsed="false">
      <c r="A79" s="3" t="n">
        <v>45701</v>
      </c>
      <c r="B79" s="4" t="s">
        <v>21</v>
      </c>
      <c r="C79" s="4" t="s">
        <v>18</v>
      </c>
      <c r="D79" s="4" t="s">
        <v>15</v>
      </c>
      <c r="E79" s="5" t="n">
        <v>-1256.85</v>
      </c>
      <c r="F79" s="4" t="str">
        <f aca="false">TEXT(A79,"mmm-yyyy")</f>
        <v>Feb-2025</v>
      </c>
    </row>
    <row r="80" customFormat="false" ht="15" hidden="false" customHeight="false" outlineLevel="0" collapsed="false">
      <c r="A80" s="3" t="n">
        <v>45701</v>
      </c>
      <c r="B80" s="4" t="s">
        <v>21</v>
      </c>
      <c r="C80" s="4" t="s">
        <v>8</v>
      </c>
      <c r="D80" s="4" t="s">
        <v>10</v>
      </c>
      <c r="E80" s="5" t="n">
        <v>-3164.25</v>
      </c>
      <c r="F80" s="4" t="str">
        <f aca="false">TEXT(A80,"mmm-yyyy")</f>
        <v>Feb-2025</v>
      </c>
    </row>
    <row r="81" customFormat="false" ht="15" hidden="false" customHeight="false" outlineLevel="0" collapsed="false">
      <c r="A81" s="3" t="n">
        <v>45701</v>
      </c>
      <c r="B81" s="4" t="s">
        <v>24</v>
      </c>
      <c r="C81" s="4" t="s">
        <v>18</v>
      </c>
      <c r="D81" s="4" t="s">
        <v>15</v>
      </c>
      <c r="E81" s="5" t="n">
        <v>-2416.63</v>
      </c>
      <c r="F81" s="4" t="str">
        <f aca="false">TEXT(A81,"mmm-yyyy")</f>
        <v>Feb-2025</v>
      </c>
    </row>
    <row r="82" customFormat="false" ht="15" hidden="false" customHeight="false" outlineLevel="0" collapsed="false">
      <c r="A82" s="3" t="n">
        <v>45702</v>
      </c>
      <c r="B82" s="4" t="s">
        <v>7</v>
      </c>
      <c r="C82" s="4" t="s">
        <v>12</v>
      </c>
      <c r="D82" s="4" t="s">
        <v>9</v>
      </c>
      <c r="E82" s="5" t="n">
        <v>8743.75</v>
      </c>
      <c r="F82" s="4" t="str">
        <f aca="false">TEXT(A82,"mmm-yyyy")</f>
        <v>Feb-2025</v>
      </c>
    </row>
    <row r="83" customFormat="false" ht="15" hidden="false" customHeight="false" outlineLevel="0" collapsed="false">
      <c r="A83" s="3" t="n">
        <v>45703</v>
      </c>
      <c r="B83" s="4" t="s">
        <v>7</v>
      </c>
      <c r="C83" s="4" t="s">
        <v>14</v>
      </c>
      <c r="D83" s="4" t="s">
        <v>15</v>
      </c>
      <c r="E83" s="5" t="n">
        <v>15384.04</v>
      </c>
      <c r="F83" s="4" t="str">
        <f aca="false">TEXT(A83,"mmm-yyyy")</f>
        <v>Feb-2025</v>
      </c>
    </row>
    <row r="84" customFormat="false" ht="15" hidden="false" customHeight="false" outlineLevel="0" collapsed="false">
      <c r="A84" s="3" t="n">
        <v>45704</v>
      </c>
      <c r="B84" s="4" t="s">
        <v>11</v>
      </c>
      <c r="C84" s="4" t="s">
        <v>12</v>
      </c>
      <c r="D84" s="4" t="s">
        <v>15</v>
      </c>
      <c r="E84" s="5" t="n">
        <v>8409.21</v>
      </c>
      <c r="F84" s="4" t="str">
        <f aca="false">TEXT(A84,"mmm-yyyy")</f>
        <v>Feb-2025</v>
      </c>
    </row>
    <row r="85" customFormat="false" ht="15" hidden="false" customHeight="false" outlineLevel="0" collapsed="false">
      <c r="A85" s="3" t="n">
        <v>45705</v>
      </c>
      <c r="B85" s="4" t="s">
        <v>7</v>
      </c>
      <c r="C85" s="4" t="s">
        <v>8</v>
      </c>
      <c r="D85" s="4" t="s">
        <v>9</v>
      </c>
      <c r="E85" s="5" t="n">
        <v>11193.02</v>
      </c>
      <c r="F85" s="4" t="str">
        <f aca="false">TEXT(A85,"mmm-yyyy")</f>
        <v>Feb-2025</v>
      </c>
    </row>
    <row r="86" customFormat="false" ht="15" hidden="false" customHeight="false" outlineLevel="0" collapsed="false">
      <c r="A86" s="3" t="n">
        <v>45705</v>
      </c>
      <c r="B86" s="4" t="s">
        <v>19</v>
      </c>
      <c r="C86" s="4" t="s">
        <v>12</v>
      </c>
      <c r="D86" s="4" t="s">
        <v>9</v>
      </c>
      <c r="E86" s="5" t="n">
        <v>-1827.36</v>
      </c>
      <c r="F86" s="4" t="str">
        <f aca="false">TEXT(A86,"mmm-yyyy")</f>
        <v>Feb-2025</v>
      </c>
    </row>
    <row r="87" customFormat="false" ht="15" hidden="false" customHeight="false" outlineLevel="0" collapsed="false">
      <c r="A87" s="3" t="n">
        <v>45706</v>
      </c>
      <c r="B87" s="4" t="s">
        <v>20</v>
      </c>
      <c r="C87" s="4" t="s">
        <v>14</v>
      </c>
      <c r="D87" s="4" t="s">
        <v>15</v>
      </c>
      <c r="E87" s="5" t="n">
        <v>-3761.52</v>
      </c>
      <c r="F87" s="4" t="str">
        <f aca="false">TEXT(A87,"mmm-yyyy")</f>
        <v>Feb-2025</v>
      </c>
    </row>
    <row r="88" customFormat="false" ht="15" hidden="false" customHeight="false" outlineLevel="0" collapsed="false">
      <c r="A88" s="3" t="n">
        <v>45708</v>
      </c>
      <c r="B88" s="4" t="s">
        <v>7</v>
      </c>
      <c r="C88" s="4" t="s">
        <v>12</v>
      </c>
      <c r="D88" s="4" t="s">
        <v>15</v>
      </c>
      <c r="E88" s="5" t="n">
        <v>8665.97</v>
      </c>
      <c r="F88" s="4" t="str">
        <f aca="false">TEXT(A88,"mmm-yyyy")</f>
        <v>Feb-2025</v>
      </c>
    </row>
    <row r="89" customFormat="false" ht="15" hidden="false" customHeight="false" outlineLevel="0" collapsed="false">
      <c r="A89" s="3" t="n">
        <v>45708</v>
      </c>
      <c r="B89" s="4" t="s">
        <v>24</v>
      </c>
      <c r="C89" s="4" t="s">
        <v>12</v>
      </c>
      <c r="D89" s="4" t="s">
        <v>9</v>
      </c>
      <c r="E89" s="5" t="n">
        <v>-2595.48</v>
      </c>
      <c r="F89" s="4" t="str">
        <f aca="false">TEXT(A89,"mmm-yyyy")</f>
        <v>Feb-2025</v>
      </c>
    </row>
    <row r="90" customFormat="false" ht="15" hidden="false" customHeight="false" outlineLevel="0" collapsed="false">
      <c r="A90" s="3" t="n">
        <v>45709</v>
      </c>
      <c r="B90" s="4" t="s">
        <v>16</v>
      </c>
      <c r="C90" s="4" t="s">
        <v>18</v>
      </c>
      <c r="D90" s="4" t="s">
        <v>15</v>
      </c>
      <c r="E90" s="5" t="n">
        <v>-5701.03</v>
      </c>
      <c r="F90" s="4" t="str">
        <f aca="false">TEXT(A90,"mmm-yyyy")</f>
        <v>Feb-2025</v>
      </c>
    </row>
    <row r="91" customFormat="false" ht="15" hidden="false" customHeight="false" outlineLevel="0" collapsed="false">
      <c r="A91" s="3" t="n">
        <v>45710</v>
      </c>
      <c r="B91" s="4" t="s">
        <v>24</v>
      </c>
      <c r="C91" s="4" t="s">
        <v>8</v>
      </c>
      <c r="D91" s="4" t="s">
        <v>13</v>
      </c>
      <c r="E91" s="5" t="n">
        <v>-908.32</v>
      </c>
      <c r="F91" s="4" t="str">
        <f aca="false">TEXT(A91,"mmm-yyyy")</f>
        <v>Feb-2025</v>
      </c>
    </row>
    <row r="92" customFormat="false" ht="15" hidden="false" customHeight="false" outlineLevel="0" collapsed="false">
      <c r="A92" s="3" t="n">
        <v>45710</v>
      </c>
      <c r="B92" s="4" t="s">
        <v>11</v>
      </c>
      <c r="C92" s="4" t="s">
        <v>18</v>
      </c>
      <c r="D92" s="4" t="s">
        <v>10</v>
      </c>
      <c r="E92" s="5" t="n">
        <v>3957.95</v>
      </c>
      <c r="F92" s="4" t="str">
        <f aca="false">TEXT(A92,"mmm-yyyy")</f>
        <v>Feb-2025</v>
      </c>
    </row>
    <row r="93" customFormat="false" ht="15" hidden="false" customHeight="false" outlineLevel="0" collapsed="false">
      <c r="A93" s="3" t="n">
        <v>45711</v>
      </c>
      <c r="B93" s="4" t="s">
        <v>11</v>
      </c>
      <c r="C93" s="4" t="s">
        <v>14</v>
      </c>
      <c r="D93" s="4" t="s">
        <v>9</v>
      </c>
      <c r="E93" s="5" t="n">
        <v>9109.01</v>
      </c>
      <c r="F93" s="4" t="str">
        <f aca="false">TEXT(A93,"mmm-yyyy")</f>
        <v>Feb-2025</v>
      </c>
    </row>
    <row r="94" customFormat="false" ht="15" hidden="false" customHeight="false" outlineLevel="0" collapsed="false">
      <c r="A94" s="3" t="n">
        <v>45711</v>
      </c>
      <c r="B94" s="4" t="s">
        <v>16</v>
      </c>
      <c r="C94" s="4" t="s">
        <v>14</v>
      </c>
      <c r="D94" s="4" t="s">
        <v>9</v>
      </c>
      <c r="E94" s="5" t="n">
        <v>-1829.51</v>
      </c>
      <c r="F94" s="4" t="str">
        <f aca="false">TEXT(A94,"mmm-yyyy")</f>
        <v>Feb-2025</v>
      </c>
    </row>
    <row r="95" customFormat="false" ht="15" hidden="false" customHeight="false" outlineLevel="0" collapsed="false">
      <c r="A95" s="3" t="n">
        <v>45711</v>
      </c>
      <c r="B95" s="4" t="s">
        <v>24</v>
      </c>
      <c r="C95" s="4" t="s">
        <v>18</v>
      </c>
      <c r="D95" s="4" t="s">
        <v>9</v>
      </c>
      <c r="E95" s="5" t="n">
        <v>-2928.22</v>
      </c>
      <c r="F95" s="4" t="str">
        <f aca="false">TEXT(A95,"mmm-yyyy")</f>
        <v>Feb-2025</v>
      </c>
    </row>
    <row r="96" customFormat="false" ht="15" hidden="false" customHeight="false" outlineLevel="0" collapsed="false">
      <c r="A96" s="3" t="n">
        <v>45712</v>
      </c>
      <c r="B96" s="4" t="s">
        <v>7</v>
      </c>
      <c r="C96" s="4" t="s">
        <v>18</v>
      </c>
      <c r="D96" s="4" t="s">
        <v>9</v>
      </c>
      <c r="E96" s="5" t="n">
        <v>11313.73</v>
      </c>
      <c r="F96" s="4" t="str">
        <f aca="false">TEXT(A96,"mmm-yyyy")</f>
        <v>Feb-2025</v>
      </c>
    </row>
    <row r="97" customFormat="false" ht="15" hidden="false" customHeight="false" outlineLevel="0" collapsed="false">
      <c r="A97" s="3" t="n">
        <v>45713</v>
      </c>
      <c r="B97" s="4" t="s">
        <v>20</v>
      </c>
      <c r="C97" s="4" t="s">
        <v>18</v>
      </c>
      <c r="D97" s="4" t="s">
        <v>9</v>
      </c>
      <c r="E97" s="5" t="n">
        <v>-3059.62</v>
      </c>
      <c r="F97" s="4" t="str">
        <f aca="false">TEXT(A97,"mmm-yyyy")</f>
        <v>Feb-2025</v>
      </c>
    </row>
    <row r="98" customFormat="false" ht="15" hidden="false" customHeight="false" outlineLevel="0" collapsed="false">
      <c r="A98" s="3" t="n">
        <v>45713</v>
      </c>
      <c r="B98" s="4" t="s">
        <v>11</v>
      </c>
      <c r="C98" s="4" t="s">
        <v>8</v>
      </c>
      <c r="D98" s="4" t="s">
        <v>13</v>
      </c>
      <c r="E98" s="5" t="n">
        <v>6290.68</v>
      </c>
      <c r="F98" s="4" t="str">
        <f aca="false">TEXT(A98,"mmm-yyyy")</f>
        <v>Feb-2025</v>
      </c>
    </row>
    <row r="99" customFormat="false" ht="15" hidden="false" customHeight="false" outlineLevel="0" collapsed="false">
      <c r="A99" s="3" t="n">
        <v>45715</v>
      </c>
      <c r="B99" s="4" t="s">
        <v>22</v>
      </c>
      <c r="C99" s="4" t="s">
        <v>14</v>
      </c>
      <c r="D99" s="4" t="s">
        <v>9</v>
      </c>
      <c r="E99" s="5" t="n">
        <v>-4950.54</v>
      </c>
      <c r="F99" s="4" t="str">
        <f aca="false">TEXT(A99,"mmm-yyyy")</f>
        <v>Feb-2025</v>
      </c>
    </row>
    <row r="100" customFormat="false" ht="15" hidden="false" customHeight="false" outlineLevel="0" collapsed="false">
      <c r="A100" s="3" t="n">
        <v>45716</v>
      </c>
      <c r="B100" s="4" t="s">
        <v>7</v>
      </c>
      <c r="C100" s="4" t="s">
        <v>18</v>
      </c>
      <c r="D100" s="4" t="s">
        <v>15</v>
      </c>
      <c r="E100" s="5" t="n">
        <v>11840.95</v>
      </c>
      <c r="F100" s="4" t="str">
        <f aca="false">TEXT(A100,"mmm-yyyy")</f>
        <v>Feb-2025</v>
      </c>
    </row>
    <row r="101" customFormat="false" ht="15" hidden="false" customHeight="false" outlineLevel="0" collapsed="false">
      <c r="A101" s="3" t="n">
        <v>45717</v>
      </c>
      <c r="B101" s="4" t="s">
        <v>19</v>
      </c>
      <c r="C101" s="4" t="s">
        <v>18</v>
      </c>
      <c r="D101" s="4" t="s">
        <v>15</v>
      </c>
      <c r="E101" s="5" t="n">
        <v>-2039.69</v>
      </c>
      <c r="F101" s="4" t="str">
        <f aca="false">TEXT(A101,"mmm-yyyy")</f>
        <v>Mar-2025</v>
      </c>
    </row>
    <row r="102" customFormat="false" ht="15" hidden="false" customHeight="false" outlineLevel="0" collapsed="false">
      <c r="A102" s="3" t="n">
        <v>45717</v>
      </c>
      <c r="B102" s="4" t="s">
        <v>20</v>
      </c>
      <c r="C102" s="4" t="s">
        <v>18</v>
      </c>
      <c r="D102" s="4" t="s">
        <v>9</v>
      </c>
      <c r="E102" s="5" t="n">
        <v>-1137.8</v>
      </c>
      <c r="F102" s="4" t="str">
        <f aca="false">TEXT(A102,"mmm-yyyy")</f>
        <v>Mar-2025</v>
      </c>
    </row>
    <row r="103" customFormat="false" ht="15" hidden="false" customHeight="false" outlineLevel="0" collapsed="false">
      <c r="A103" s="3" t="n">
        <v>45719</v>
      </c>
      <c r="B103" s="4" t="s">
        <v>21</v>
      </c>
      <c r="C103" s="4" t="s">
        <v>14</v>
      </c>
      <c r="D103" s="4" t="s">
        <v>15</v>
      </c>
      <c r="E103" s="5" t="n">
        <v>-2315.71</v>
      </c>
      <c r="F103" s="4" t="str">
        <f aca="false">TEXT(A103,"mmm-yyyy")</f>
        <v>Mar-2025</v>
      </c>
    </row>
    <row r="104" customFormat="false" ht="15" hidden="false" customHeight="false" outlineLevel="0" collapsed="false">
      <c r="A104" s="3" t="n">
        <v>45720</v>
      </c>
      <c r="B104" s="4" t="s">
        <v>7</v>
      </c>
      <c r="C104" s="4" t="s">
        <v>8</v>
      </c>
      <c r="D104" s="4" t="s">
        <v>10</v>
      </c>
      <c r="E104" s="5" t="n">
        <v>12076.54</v>
      </c>
      <c r="F104" s="4" t="str">
        <f aca="false">TEXT(A104,"mmm-yyyy")</f>
        <v>Mar-2025</v>
      </c>
    </row>
    <row r="105" customFormat="false" ht="15" hidden="false" customHeight="false" outlineLevel="0" collapsed="false">
      <c r="A105" s="3" t="n">
        <v>45721</v>
      </c>
      <c r="B105" s="4" t="s">
        <v>11</v>
      </c>
      <c r="C105" s="4" t="s">
        <v>18</v>
      </c>
      <c r="D105" s="4" t="s">
        <v>9</v>
      </c>
      <c r="E105" s="5" t="n">
        <v>8038.76</v>
      </c>
      <c r="F105" s="4" t="str">
        <f aca="false">TEXT(A105,"mmm-yyyy")</f>
        <v>Mar-2025</v>
      </c>
    </row>
    <row r="106" customFormat="false" ht="15" hidden="false" customHeight="false" outlineLevel="0" collapsed="false">
      <c r="A106" s="3" t="n">
        <v>45722</v>
      </c>
      <c r="B106" s="4" t="s">
        <v>19</v>
      </c>
      <c r="C106" s="4" t="s">
        <v>18</v>
      </c>
      <c r="D106" s="4" t="s">
        <v>9</v>
      </c>
      <c r="E106" s="5" t="n">
        <v>-2944.42</v>
      </c>
      <c r="F106" s="4" t="str">
        <f aca="false">TEXT(A106,"mmm-yyyy")</f>
        <v>Mar-2025</v>
      </c>
    </row>
    <row r="107" customFormat="false" ht="15" hidden="false" customHeight="false" outlineLevel="0" collapsed="false">
      <c r="A107" s="3" t="n">
        <v>45723</v>
      </c>
      <c r="B107" s="4" t="s">
        <v>23</v>
      </c>
      <c r="C107" s="4" t="s">
        <v>14</v>
      </c>
      <c r="D107" s="4" t="s">
        <v>10</v>
      </c>
      <c r="E107" s="5" t="n">
        <v>-3078.76</v>
      </c>
      <c r="F107" s="4" t="str">
        <f aca="false">TEXT(A107,"mmm-yyyy")</f>
        <v>Mar-2025</v>
      </c>
    </row>
    <row r="108" customFormat="false" ht="15" hidden="false" customHeight="false" outlineLevel="0" collapsed="false">
      <c r="A108" s="3" t="n">
        <v>45723</v>
      </c>
      <c r="B108" s="4" t="s">
        <v>7</v>
      </c>
      <c r="C108" s="4" t="s">
        <v>12</v>
      </c>
      <c r="D108" s="4" t="s">
        <v>13</v>
      </c>
      <c r="E108" s="5" t="n">
        <v>5758.08</v>
      </c>
      <c r="F108" s="4" t="str">
        <f aca="false">TEXT(A108,"mmm-yyyy")</f>
        <v>Mar-2025</v>
      </c>
    </row>
    <row r="109" customFormat="false" ht="15" hidden="false" customHeight="false" outlineLevel="0" collapsed="false">
      <c r="A109" s="3" t="n">
        <v>45724</v>
      </c>
      <c r="B109" s="4" t="s">
        <v>16</v>
      </c>
      <c r="C109" s="4" t="s">
        <v>18</v>
      </c>
      <c r="D109" s="4" t="s">
        <v>9</v>
      </c>
      <c r="E109" s="5" t="n">
        <v>-4823.33</v>
      </c>
      <c r="F109" s="4" t="str">
        <f aca="false">TEXT(A109,"mmm-yyyy")</f>
        <v>Mar-2025</v>
      </c>
    </row>
    <row r="110" customFormat="false" ht="15" hidden="false" customHeight="false" outlineLevel="0" collapsed="false">
      <c r="A110" s="3" t="n">
        <v>45724</v>
      </c>
      <c r="B110" s="4" t="s">
        <v>23</v>
      </c>
      <c r="C110" s="4" t="s">
        <v>18</v>
      </c>
      <c r="D110" s="4" t="s">
        <v>9</v>
      </c>
      <c r="E110" s="5" t="n">
        <v>-653.01</v>
      </c>
      <c r="F110" s="4" t="str">
        <f aca="false">TEXT(A110,"mmm-yyyy")</f>
        <v>Mar-2025</v>
      </c>
    </row>
    <row r="111" customFormat="false" ht="15" hidden="false" customHeight="false" outlineLevel="0" collapsed="false">
      <c r="A111" s="3" t="n">
        <v>45724</v>
      </c>
      <c r="B111" s="4" t="s">
        <v>7</v>
      </c>
      <c r="C111" s="4" t="s">
        <v>18</v>
      </c>
      <c r="D111" s="4" t="s">
        <v>10</v>
      </c>
      <c r="E111" s="5" t="n">
        <v>6151.16</v>
      </c>
      <c r="F111" s="4" t="str">
        <f aca="false">TEXT(A111,"mmm-yyyy")</f>
        <v>Mar-2025</v>
      </c>
    </row>
    <row r="112" customFormat="false" ht="15" hidden="false" customHeight="false" outlineLevel="0" collapsed="false">
      <c r="A112" s="3" t="n">
        <v>45725</v>
      </c>
      <c r="B112" s="4" t="s">
        <v>20</v>
      </c>
      <c r="C112" s="4" t="s">
        <v>12</v>
      </c>
      <c r="D112" s="4" t="s">
        <v>9</v>
      </c>
      <c r="E112" s="5" t="n">
        <v>-3645.02</v>
      </c>
      <c r="F112" s="4" t="str">
        <f aca="false">TEXT(A112,"mmm-yyyy")</f>
        <v>Mar-2025</v>
      </c>
    </row>
    <row r="113" customFormat="false" ht="15" hidden="false" customHeight="false" outlineLevel="0" collapsed="false">
      <c r="A113" s="3" t="n">
        <v>45726</v>
      </c>
      <c r="B113" s="4" t="s">
        <v>16</v>
      </c>
      <c r="C113" s="4" t="s">
        <v>14</v>
      </c>
      <c r="D113" s="4" t="s">
        <v>9</v>
      </c>
      <c r="E113" s="5" t="n">
        <v>-1169.25</v>
      </c>
      <c r="F113" s="4" t="str">
        <f aca="false">TEXT(A113,"mmm-yyyy")</f>
        <v>Mar-2025</v>
      </c>
    </row>
    <row r="114" customFormat="false" ht="15" hidden="false" customHeight="false" outlineLevel="0" collapsed="false">
      <c r="A114" s="3" t="n">
        <v>45726</v>
      </c>
      <c r="B114" s="4" t="s">
        <v>21</v>
      </c>
      <c r="C114" s="4" t="s">
        <v>14</v>
      </c>
      <c r="D114" s="4" t="s">
        <v>9</v>
      </c>
      <c r="E114" s="5" t="n">
        <v>-2129.57</v>
      </c>
      <c r="F114" s="4" t="str">
        <f aca="false">TEXT(A114,"mmm-yyyy")</f>
        <v>Mar-2025</v>
      </c>
    </row>
    <row r="115" customFormat="false" ht="15" hidden="false" customHeight="false" outlineLevel="0" collapsed="false">
      <c r="A115" s="3" t="n">
        <v>45728</v>
      </c>
      <c r="B115" s="4" t="s">
        <v>24</v>
      </c>
      <c r="C115" s="4" t="s">
        <v>14</v>
      </c>
      <c r="D115" s="4" t="s">
        <v>15</v>
      </c>
      <c r="E115" s="5" t="n">
        <v>223.37</v>
      </c>
      <c r="F115" s="4" t="str">
        <f aca="false">TEXT(A115,"mmm-yyyy")</f>
        <v>Mar-2025</v>
      </c>
    </row>
    <row r="116" customFormat="false" ht="15" hidden="false" customHeight="false" outlineLevel="0" collapsed="false">
      <c r="A116" s="3" t="n">
        <v>45728</v>
      </c>
      <c r="B116" s="4" t="s">
        <v>21</v>
      </c>
      <c r="C116" s="4" t="s">
        <v>18</v>
      </c>
      <c r="D116" s="4" t="s">
        <v>9</v>
      </c>
      <c r="E116" s="5" t="n">
        <v>-1745.24</v>
      </c>
      <c r="F116" s="4" t="str">
        <f aca="false">TEXT(A116,"mmm-yyyy")</f>
        <v>Mar-2025</v>
      </c>
    </row>
    <row r="117" customFormat="false" ht="15" hidden="false" customHeight="false" outlineLevel="0" collapsed="false">
      <c r="A117" s="3" t="n">
        <v>45728</v>
      </c>
      <c r="B117" s="4" t="s">
        <v>19</v>
      </c>
      <c r="C117" s="4" t="s">
        <v>18</v>
      </c>
      <c r="D117" s="4" t="s">
        <v>10</v>
      </c>
      <c r="E117" s="5" t="n">
        <v>-3006.75</v>
      </c>
      <c r="F117" s="4" t="str">
        <f aca="false">TEXT(A117,"mmm-yyyy")</f>
        <v>Mar-2025</v>
      </c>
    </row>
    <row r="118" customFormat="false" ht="15" hidden="false" customHeight="false" outlineLevel="0" collapsed="false">
      <c r="A118" s="3" t="n">
        <v>45728</v>
      </c>
      <c r="B118" s="4" t="s">
        <v>16</v>
      </c>
      <c r="C118" s="4" t="s">
        <v>14</v>
      </c>
      <c r="D118" s="4" t="s">
        <v>15</v>
      </c>
      <c r="E118" s="5" t="n">
        <v>-1743.76</v>
      </c>
      <c r="F118" s="4" t="str">
        <f aca="false">TEXT(A118,"mmm-yyyy")</f>
        <v>Mar-2025</v>
      </c>
    </row>
    <row r="119" customFormat="false" ht="15" hidden="false" customHeight="false" outlineLevel="0" collapsed="false">
      <c r="A119" s="3" t="n">
        <v>45730</v>
      </c>
      <c r="B119" s="4" t="s">
        <v>7</v>
      </c>
      <c r="C119" s="4" t="s">
        <v>12</v>
      </c>
      <c r="D119" s="4" t="s">
        <v>9</v>
      </c>
      <c r="E119" s="5" t="n">
        <v>8193.4</v>
      </c>
      <c r="F119" s="4" t="str">
        <f aca="false">TEXT(A119,"mmm-yyyy")</f>
        <v>Mar-2025</v>
      </c>
    </row>
    <row r="120" customFormat="false" ht="15" hidden="false" customHeight="false" outlineLevel="0" collapsed="false">
      <c r="A120" s="3" t="n">
        <v>45733</v>
      </c>
      <c r="B120" s="4" t="s">
        <v>21</v>
      </c>
      <c r="C120" s="4" t="s">
        <v>14</v>
      </c>
      <c r="D120" s="4" t="s">
        <v>13</v>
      </c>
      <c r="E120" s="5" t="n">
        <v>-1884.91</v>
      </c>
      <c r="F120" s="4" t="str">
        <f aca="false">TEXT(A120,"mmm-yyyy")</f>
        <v>Mar-2025</v>
      </c>
    </row>
    <row r="121" customFormat="false" ht="15" hidden="false" customHeight="false" outlineLevel="0" collapsed="false">
      <c r="A121" s="3" t="n">
        <v>45733</v>
      </c>
      <c r="B121" s="4" t="s">
        <v>21</v>
      </c>
      <c r="C121" s="4" t="s">
        <v>14</v>
      </c>
      <c r="D121" s="4" t="s">
        <v>15</v>
      </c>
      <c r="E121" s="5" t="n">
        <v>-1627.73</v>
      </c>
      <c r="F121" s="4" t="str">
        <f aca="false">TEXT(A121,"mmm-yyyy")</f>
        <v>Mar-2025</v>
      </c>
    </row>
    <row r="122" customFormat="false" ht="15" hidden="false" customHeight="false" outlineLevel="0" collapsed="false">
      <c r="A122" s="3" t="n">
        <v>45734</v>
      </c>
      <c r="B122" s="4" t="s">
        <v>11</v>
      </c>
      <c r="C122" s="4" t="s">
        <v>8</v>
      </c>
      <c r="D122" s="4" t="s">
        <v>9</v>
      </c>
      <c r="E122" s="5" t="n">
        <v>12979.75</v>
      </c>
      <c r="F122" s="4" t="str">
        <f aca="false">TEXT(A122,"mmm-yyyy")</f>
        <v>Mar-2025</v>
      </c>
    </row>
    <row r="123" customFormat="false" ht="15" hidden="false" customHeight="false" outlineLevel="0" collapsed="false">
      <c r="A123" s="3" t="n">
        <v>45736</v>
      </c>
      <c r="B123" s="4" t="s">
        <v>19</v>
      </c>
      <c r="C123" s="4" t="s">
        <v>12</v>
      </c>
      <c r="D123" s="4" t="s">
        <v>9</v>
      </c>
      <c r="E123" s="5" t="n">
        <v>-2991.02</v>
      </c>
      <c r="F123" s="4" t="str">
        <f aca="false">TEXT(A123,"mmm-yyyy")</f>
        <v>Mar-2025</v>
      </c>
    </row>
    <row r="124" customFormat="false" ht="15" hidden="false" customHeight="false" outlineLevel="0" collapsed="false">
      <c r="A124" s="3" t="n">
        <v>45736</v>
      </c>
      <c r="B124" s="4" t="s">
        <v>24</v>
      </c>
      <c r="C124" s="4" t="s">
        <v>12</v>
      </c>
      <c r="D124" s="4" t="s">
        <v>9</v>
      </c>
      <c r="E124" s="5" t="n">
        <v>-3816.4</v>
      </c>
      <c r="F124" s="4" t="str">
        <f aca="false">TEXT(A124,"mmm-yyyy")</f>
        <v>Mar-2025</v>
      </c>
    </row>
    <row r="125" customFormat="false" ht="15" hidden="false" customHeight="false" outlineLevel="0" collapsed="false">
      <c r="A125" s="3" t="n">
        <v>45737</v>
      </c>
      <c r="B125" s="4" t="s">
        <v>22</v>
      </c>
      <c r="C125" s="4" t="s">
        <v>18</v>
      </c>
      <c r="D125" s="4" t="s">
        <v>15</v>
      </c>
      <c r="E125" s="5" t="n">
        <v>-1460.99</v>
      </c>
      <c r="F125" s="4" t="str">
        <f aca="false">TEXT(A125,"mmm-yyyy")</f>
        <v>Mar-2025</v>
      </c>
    </row>
    <row r="126" customFormat="false" ht="15" hidden="false" customHeight="false" outlineLevel="0" collapsed="false">
      <c r="A126" s="3" t="n">
        <v>45737</v>
      </c>
      <c r="B126" s="4" t="s">
        <v>19</v>
      </c>
      <c r="C126" s="4" t="s">
        <v>14</v>
      </c>
      <c r="D126" s="4" t="s">
        <v>15</v>
      </c>
      <c r="E126" s="5" t="n">
        <v>-638.9</v>
      </c>
      <c r="F126" s="4" t="str">
        <f aca="false">TEXT(A126,"mmm-yyyy")</f>
        <v>Mar-2025</v>
      </c>
    </row>
    <row r="127" customFormat="false" ht="15" hidden="false" customHeight="false" outlineLevel="0" collapsed="false">
      <c r="A127" s="3" t="n">
        <v>45737</v>
      </c>
      <c r="B127" s="4" t="s">
        <v>11</v>
      </c>
      <c r="C127" s="4" t="s">
        <v>14</v>
      </c>
      <c r="D127" s="4" t="s">
        <v>15</v>
      </c>
      <c r="E127" s="5" t="n">
        <v>8793.4</v>
      </c>
      <c r="F127" s="4" t="str">
        <f aca="false">TEXT(A127,"mmm-yyyy")</f>
        <v>Mar-2025</v>
      </c>
    </row>
    <row r="128" customFormat="false" ht="15" hidden="false" customHeight="false" outlineLevel="0" collapsed="false">
      <c r="A128" s="3" t="n">
        <v>45737</v>
      </c>
      <c r="B128" s="4" t="s">
        <v>11</v>
      </c>
      <c r="C128" s="4" t="s">
        <v>14</v>
      </c>
      <c r="D128" s="4" t="s">
        <v>10</v>
      </c>
      <c r="E128" s="5" t="n">
        <v>9211.79</v>
      </c>
      <c r="F128" s="4" t="str">
        <f aca="false">TEXT(A128,"mmm-yyyy")</f>
        <v>Mar-2025</v>
      </c>
    </row>
    <row r="129" customFormat="false" ht="15" hidden="false" customHeight="false" outlineLevel="0" collapsed="false">
      <c r="A129" s="3" t="n">
        <v>45738</v>
      </c>
      <c r="B129" s="4" t="s">
        <v>11</v>
      </c>
      <c r="C129" s="4" t="s">
        <v>14</v>
      </c>
      <c r="D129" s="4" t="s">
        <v>9</v>
      </c>
      <c r="E129" s="5" t="n">
        <v>10440.68</v>
      </c>
      <c r="F129" s="4" t="str">
        <f aca="false">TEXT(A129,"mmm-yyyy")</f>
        <v>Mar-2025</v>
      </c>
    </row>
    <row r="130" customFormat="false" ht="15" hidden="false" customHeight="false" outlineLevel="0" collapsed="false">
      <c r="A130" s="3" t="n">
        <v>45738</v>
      </c>
      <c r="B130" s="4" t="s">
        <v>11</v>
      </c>
      <c r="C130" s="4" t="s">
        <v>8</v>
      </c>
      <c r="D130" s="4" t="s">
        <v>15</v>
      </c>
      <c r="E130" s="5" t="n">
        <v>5922.19</v>
      </c>
      <c r="F130" s="4" t="str">
        <f aca="false">TEXT(A130,"mmm-yyyy")</f>
        <v>Mar-2025</v>
      </c>
    </row>
    <row r="131" customFormat="false" ht="15" hidden="false" customHeight="false" outlineLevel="0" collapsed="false">
      <c r="A131" s="3" t="n">
        <v>45738</v>
      </c>
      <c r="B131" s="4" t="s">
        <v>22</v>
      </c>
      <c r="C131" s="4" t="s">
        <v>8</v>
      </c>
      <c r="D131" s="4" t="s">
        <v>10</v>
      </c>
      <c r="E131" s="5" t="n">
        <v>-4681.28</v>
      </c>
      <c r="F131" s="4" t="str">
        <f aca="false">TEXT(A131,"mmm-yyyy")</f>
        <v>Mar-2025</v>
      </c>
    </row>
    <row r="132" customFormat="false" ht="15" hidden="false" customHeight="false" outlineLevel="0" collapsed="false">
      <c r="A132" s="3" t="n">
        <v>45739</v>
      </c>
      <c r="B132" s="4" t="s">
        <v>23</v>
      </c>
      <c r="C132" s="4" t="s">
        <v>18</v>
      </c>
      <c r="D132" s="4" t="s">
        <v>13</v>
      </c>
      <c r="E132" s="5" t="n">
        <v>-1613.27</v>
      </c>
      <c r="F132" s="4" t="str">
        <f aca="false">TEXT(A132,"mmm-yyyy")</f>
        <v>Mar-2025</v>
      </c>
    </row>
    <row r="133" customFormat="false" ht="15" hidden="false" customHeight="false" outlineLevel="0" collapsed="false">
      <c r="A133" s="3" t="n">
        <v>45740</v>
      </c>
      <c r="B133" s="4" t="s">
        <v>11</v>
      </c>
      <c r="C133" s="4" t="s">
        <v>18</v>
      </c>
      <c r="D133" s="4" t="s">
        <v>15</v>
      </c>
      <c r="E133" s="5" t="n">
        <v>11758.51</v>
      </c>
      <c r="F133" s="4" t="str">
        <f aca="false">TEXT(A133,"mmm-yyyy")</f>
        <v>Mar-2025</v>
      </c>
    </row>
    <row r="134" customFormat="false" ht="15" hidden="false" customHeight="false" outlineLevel="0" collapsed="false">
      <c r="A134" s="3" t="n">
        <v>45740</v>
      </c>
      <c r="B134" s="4" t="s">
        <v>7</v>
      </c>
      <c r="C134" s="4" t="s">
        <v>14</v>
      </c>
      <c r="D134" s="4" t="s">
        <v>15</v>
      </c>
      <c r="E134" s="5" t="n">
        <v>4053.44</v>
      </c>
      <c r="F134" s="4" t="str">
        <f aca="false">TEXT(A134,"mmm-yyyy")</f>
        <v>Mar-2025</v>
      </c>
    </row>
    <row r="135" customFormat="false" ht="15" hidden="false" customHeight="false" outlineLevel="0" collapsed="false">
      <c r="A135" s="3" t="n">
        <v>45740</v>
      </c>
      <c r="B135" s="4" t="s">
        <v>23</v>
      </c>
      <c r="C135" s="4" t="s">
        <v>14</v>
      </c>
      <c r="D135" s="4" t="s">
        <v>15</v>
      </c>
      <c r="E135" s="5" t="n">
        <v>-2298.84</v>
      </c>
      <c r="F135" s="4" t="str">
        <f aca="false">TEXT(A135,"mmm-yyyy")</f>
        <v>Mar-2025</v>
      </c>
    </row>
    <row r="136" customFormat="false" ht="15" hidden="false" customHeight="false" outlineLevel="0" collapsed="false">
      <c r="A136" s="3" t="n">
        <v>45741</v>
      </c>
      <c r="B136" s="4" t="s">
        <v>22</v>
      </c>
      <c r="C136" s="4" t="s">
        <v>8</v>
      </c>
      <c r="D136" s="4" t="s">
        <v>15</v>
      </c>
      <c r="E136" s="5" t="n">
        <v>-2213.84</v>
      </c>
      <c r="F136" s="4" t="str">
        <f aca="false">TEXT(A136,"mmm-yyyy")</f>
        <v>Mar-2025</v>
      </c>
    </row>
    <row r="137" customFormat="false" ht="15" hidden="false" customHeight="false" outlineLevel="0" collapsed="false">
      <c r="A137" s="3" t="n">
        <v>45742</v>
      </c>
      <c r="B137" s="4" t="s">
        <v>11</v>
      </c>
      <c r="C137" s="4" t="s">
        <v>14</v>
      </c>
      <c r="D137" s="4" t="s">
        <v>9</v>
      </c>
      <c r="E137" s="5" t="n">
        <v>11759.58</v>
      </c>
      <c r="F137" s="4" t="str">
        <f aca="false">TEXT(A137,"mmm-yyyy")</f>
        <v>Mar-2025</v>
      </c>
    </row>
    <row r="138" customFormat="false" ht="15" hidden="false" customHeight="false" outlineLevel="0" collapsed="false">
      <c r="A138" s="3" t="n">
        <v>45742</v>
      </c>
      <c r="B138" s="4" t="s">
        <v>21</v>
      </c>
      <c r="C138" s="4" t="s">
        <v>12</v>
      </c>
      <c r="D138" s="4" t="s">
        <v>9</v>
      </c>
      <c r="E138" s="5" t="n">
        <v>-2968.77</v>
      </c>
      <c r="F138" s="4" t="str">
        <f aca="false">TEXT(A138,"mmm-yyyy")</f>
        <v>Mar-2025</v>
      </c>
    </row>
    <row r="139" customFormat="false" ht="15" hidden="false" customHeight="false" outlineLevel="0" collapsed="false">
      <c r="A139" s="3" t="n">
        <v>45742</v>
      </c>
      <c r="B139" s="4" t="s">
        <v>21</v>
      </c>
      <c r="C139" s="4" t="s">
        <v>12</v>
      </c>
      <c r="D139" s="4" t="s">
        <v>15</v>
      </c>
      <c r="E139" s="5" t="n">
        <v>468.14</v>
      </c>
      <c r="F139" s="4" t="str">
        <f aca="false">TEXT(A139,"mmm-yyyy")</f>
        <v>Mar-2025</v>
      </c>
    </row>
    <row r="140" customFormat="false" ht="15" hidden="false" customHeight="false" outlineLevel="0" collapsed="false">
      <c r="A140" s="3" t="n">
        <v>45743</v>
      </c>
      <c r="B140" s="4" t="s">
        <v>24</v>
      </c>
      <c r="C140" s="4" t="s">
        <v>12</v>
      </c>
      <c r="D140" s="4" t="s">
        <v>15</v>
      </c>
      <c r="E140" s="5" t="n">
        <v>-6528.43</v>
      </c>
      <c r="F140" s="4" t="str">
        <f aca="false">TEXT(A140,"mmm-yyyy")</f>
        <v>Mar-2025</v>
      </c>
    </row>
    <row r="141" customFormat="false" ht="15" hidden="false" customHeight="false" outlineLevel="0" collapsed="false">
      <c r="A141" s="3" t="n">
        <v>45744</v>
      </c>
      <c r="B141" s="4" t="s">
        <v>19</v>
      </c>
      <c r="C141" s="4" t="s">
        <v>14</v>
      </c>
      <c r="D141" s="4" t="s">
        <v>15</v>
      </c>
      <c r="E141" s="5" t="n">
        <v>-2146.12</v>
      </c>
      <c r="F141" s="4" t="str">
        <f aca="false">TEXT(A141,"mmm-yyyy")</f>
        <v>Mar-2025</v>
      </c>
    </row>
    <row r="142" customFormat="false" ht="15" hidden="false" customHeight="false" outlineLevel="0" collapsed="false">
      <c r="A142" s="3" t="n">
        <v>45744</v>
      </c>
      <c r="B142" s="4" t="s">
        <v>19</v>
      </c>
      <c r="C142" s="4" t="s">
        <v>12</v>
      </c>
      <c r="D142" s="4" t="s">
        <v>9</v>
      </c>
      <c r="E142" s="5" t="n">
        <v>-1341.85</v>
      </c>
      <c r="F142" s="4" t="str">
        <f aca="false">TEXT(A142,"mmm-yyyy")</f>
        <v>Mar-2025</v>
      </c>
    </row>
    <row r="143" customFormat="false" ht="15" hidden="false" customHeight="false" outlineLevel="0" collapsed="false">
      <c r="A143" s="3" t="n">
        <v>45744</v>
      </c>
      <c r="B143" s="4" t="s">
        <v>7</v>
      </c>
      <c r="C143" s="4" t="s">
        <v>18</v>
      </c>
      <c r="D143" s="4" t="s">
        <v>15</v>
      </c>
      <c r="E143" s="5" t="n">
        <v>5125.98</v>
      </c>
      <c r="F143" s="4" t="str">
        <f aca="false">TEXT(A143,"mmm-yyyy")</f>
        <v>Mar-2025</v>
      </c>
    </row>
    <row r="144" customFormat="false" ht="15" hidden="false" customHeight="false" outlineLevel="0" collapsed="false">
      <c r="A144" s="3" t="n">
        <v>45746</v>
      </c>
      <c r="B144" s="4" t="s">
        <v>7</v>
      </c>
      <c r="C144" s="4" t="s">
        <v>12</v>
      </c>
      <c r="D144" s="4" t="s">
        <v>15</v>
      </c>
      <c r="E144" s="5" t="n">
        <v>11475.91</v>
      </c>
      <c r="F144" s="4" t="str">
        <f aca="false">TEXT(A144,"mmm-yyyy")</f>
        <v>Mar-2025</v>
      </c>
    </row>
    <row r="145" customFormat="false" ht="15" hidden="false" customHeight="false" outlineLevel="0" collapsed="false">
      <c r="A145" s="3" t="n">
        <v>45746</v>
      </c>
      <c r="B145" s="4" t="s">
        <v>21</v>
      </c>
      <c r="C145" s="4" t="s">
        <v>14</v>
      </c>
      <c r="D145" s="4" t="s">
        <v>9</v>
      </c>
      <c r="E145" s="5" t="n">
        <v>-1976.54</v>
      </c>
      <c r="F145" s="4" t="str">
        <f aca="false">TEXT(A145,"mmm-yyyy")</f>
        <v>Mar-2025</v>
      </c>
    </row>
    <row r="146" customFormat="false" ht="15" hidden="false" customHeight="false" outlineLevel="0" collapsed="false">
      <c r="A146" s="3" t="n">
        <v>45750</v>
      </c>
      <c r="B146" s="4" t="s">
        <v>16</v>
      </c>
      <c r="C146" s="4" t="s">
        <v>12</v>
      </c>
      <c r="D146" s="4" t="s">
        <v>15</v>
      </c>
      <c r="E146" s="5" t="n">
        <v>-4721.97</v>
      </c>
      <c r="F146" s="4" t="str">
        <f aca="false">TEXT(A146,"mmm-yyyy")</f>
        <v>Apr-2025</v>
      </c>
    </row>
    <row r="147" customFormat="false" ht="15" hidden="false" customHeight="false" outlineLevel="0" collapsed="false">
      <c r="A147" s="3" t="n">
        <v>45750</v>
      </c>
      <c r="B147" s="4" t="s">
        <v>20</v>
      </c>
      <c r="C147" s="4" t="s">
        <v>8</v>
      </c>
      <c r="D147" s="4" t="s">
        <v>9</v>
      </c>
      <c r="E147" s="5" t="n">
        <v>-3249.72</v>
      </c>
      <c r="F147" s="4" t="str">
        <f aca="false">TEXT(A147,"mmm-yyyy")</f>
        <v>Apr-2025</v>
      </c>
    </row>
    <row r="148" customFormat="false" ht="15" hidden="false" customHeight="false" outlineLevel="0" collapsed="false">
      <c r="A148" s="3" t="n">
        <v>45750</v>
      </c>
      <c r="B148" s="4" t="s">
        <v>19</v>
      </c>
      <c r="C148" s="4" t="s">
        <v>18</v>
      </c>
      <c r="D148" s="4" t="s">
        <v>15</v>
      </c>
      <c r="E148" s="5" t="n">
        <v>-4252.2</v>
      </c>
      <c r="F148" s="4" t="str">
        <f aca="false">TEXT(A148,"mmm-yyyy")</f>
        <v>Apr-2025</v>
      </c>
    </row>
    <row r="149" customFormat="false" ht="15" hidden="false" customHeight="false" outlineLevel="0" collapsed="false">
      <c r="A149" s="3" t="n">
        <v>45750</v>
      </c>
      <c r="B149" s="4" t="s">
        <v>24</v>
      </c>
      <c r="C149" s="4" t="s">
        <v>14</v>
      </c>
      <c r="D149" s="4" t="s">
        <v>15</v>
      </c>
      <c r="E149" s="5" t="n">
        <v>-3720</v>
      </c>
      <c r="F149" s="4" t="str">
        <f aca="false">TEXT(A149,"mmm-yyyy")</f>
        <v>Apr-2025</v>
      </c>
    </row>
    <row r="150" customFormat="false" ht="15" hidden="false" customHeight="false" outlineLevel="0" collapsed="false">
      <c r="A150" s="3" t="n">
        <v>45751</v>
      </c>
      <c r="B150" s="4" t="s">
        <v>20</v>
      </c>
      <c r="C150" s="4" t="s">
        <v>8</v>
      </c>
      <c r="D150" s="4" t="s">
        <v>9</v>
      </c>
      <c r="E150" s="5" t="n">
        <v>-923.59</v>
      </c>
      <c r="F150" s="4" t="str">
        <f aca="false">TEXT(A150,"mmm-yyyy")</f>
        <v>Apr-2025</v>
      </c>
    </row>
    <row r="151" customFormat="false" ht="15" hidden="false" customHeight="false" outlineLevel="0" collapsed="false">
      <c r="A151" s="3" t="n">
        <v>45752</v>
      </c>
      <c r="B151" s="4" t="s">
        <v>19</v>
      </c>
      <c r="C151" s="4" t="s">
        <v>12</v>
      </c>
      <c r="D151" s="4" t="s">
        <v>15</v>
      </c>
      <c r="E151" s="5" t="n">
        <v>-73.94</v>
      </c>
      <c r="F151" s="4" t="str">
        <f aca="false">TEXT(A151,"mmm-yyyy")</f>
        <v>Apr-2025</v>
      </c>
    </row>
    <row r="152" customFormat="false" ht="15" hidden="false" customHeight="false" outlineLevel="0" collapsed="false">
      <c r="A152" s="3" t="n">
        <v>45752</v>
      </c>
      <c r="B152" s="4" t="s">
        <v>11</v>
      </c>
      <c r="C152" s="4" t="s">
        <v>8</v>
      </c>
      <c r="D152" s="4" t="s">
        <v>9</v>
      </c>
      <c r="E152" s="5" t="n">
        <v>8836.28</v>
      </c>
      <c r="F152" s="4" t="str">
        <f aca="false">TEXT(A152,"mmm-yyyy")</f>
        <v>Apr-2025</v>
      </c>
    </row>
    <row r="153" customFormat="false" ht="15" hidden="false" customHeight="false" outlineLevel="0" collapsed="false">
      <c r="A153" s="3" t="n">
        <v>45752</v>
      </c>
      <c r="B153" s="4" t="s">
        <v>24</v>
      </c>
      <c r="C153" s="4" t="s">
        <v>14</v>
      </c>
      <c r="D153" s="4" t="s">
        <v>15</v>
      </c>
      <c r="E153" s="5" t="n">
        <v>733.37</v>
      </c>
      <c r="F153" s="4" t="str">
        <f aca="false">TEXT(A153,"mmm-yyyy")</f>
        <v>Apr-2025</v>
      </c>
    </row>
    <row r="154" customFormat="false" ht="15" hidden="false" customHeight="false" outlineLevel="0" collapsed="false">
      <c r="A154" s="3" t="n">
        <v>45753</v>
      </c>
      <c r="B154" s="4" t="s">
        <v>7</v>
      </c>
      <c r="C154" s="4" t="s">
        <v>14</v>
      </c>
      <c r="D154" s="4" t="s">
        <v>13</v>
      </c>
      <c r="E154" s="5" t="n">
        <v>5156.67</v>
      </c>
      <c r="F154" s="4" t="str">
        <f aca="false">TEXT(A154,"mmm-yyyy")</f>
        <v>Apr-2025</v>
      </c>
    </row>
    <row r="155" customFormat="false" ht="15" hidden="false" customHeight="false" outlineLevel="0" collapsed="false">
      <c r="A155" s="3" t="n">
        <v>45754</v>
      </c>
      <c r="B155" s="4" t="s">
        <v>11</v>
      </c>
      <c r="C155" s="4" t="s">
        <v>18</v>
      </c>
      <c r="D155" s="4" t="s">
        <v>15</v>
      </c>
      <c r="E155" s="5" t="n">
        <v>12129.57</v>
      </c>
      <c r="F155" s="4" t="str">
        <f aca="false">TEXT(A155,"mmm-yyyy")</f>
        <v>Apr-2025</v>
      </c>
    </row>
    <row r="156" customFormat="false" ht="15" hidden="false" customHeight="false" outlineLevel="0" collapsed="false">
      <c r="A156" s="3" t="n">
        <v>45754</v>
      </c>
      <c r="B156" s="4" t="s">
        <v>23</v>
      </c>
      <c r="C156" s="4" t="s">
        <v>18</v>
      </c>
      <c r="D156" s="4" t="s">
        <v>10</v>
      </c>
      <c r="E156" s="5" t="n">
        <v>-1937.1</v>
      </c>
      <c r="F156" s="4" t="str">
        <f aca="false">TEXT(A156,"mmm-yyyy")</f>
        <v>Apr-2025</v>
      </c>
    </row>
    <row r="157" customFormat="false" ht="15" hidden="false" customHeight="false" outlineLevel="0" collapsed="false">
      <c r="A157" s="3" t="n">
        <v>45755</v>
      </c>
      <c r="B157" s="4" t="s">
        <v>16</v>
      </c>
      <c r="C157" s="4" t="s">
        <v>14</v>
      </c>
      <c r="D157" s="4" t="s">
        <v>15</v>
      </c>
      <c r="E157" s="5" t="n">
        <v>-2527.61</v>
      </c>
      <c r="F157" s="4" t="str">
        <f aca="false">TEXT(A157,"mmm-yyyy")</f>
        <v>Apr-2025</v>
      </c>
    </row>
    <row r="158" customFormat="false" ht="15" hidden="false" customHeight="false" outlineLevel="0" collapsed="false">
      <c r="A158" s="3" t="n">
        <v>45755</v>
      </c>
      <c r="B158" s="4" t="s">
        <v>7</v>
      </c>
      <c r="C158" s="4" t="s">
        <v>12</v>
      </c>
      <c r="D158" s="4" t="s">
        <v>9</v>
      </c>
      <c r="E158" s="5" t="n">
        <v>11271.29</v>
      </c>
      <c r="F158" s="4" t="str">
        <f aca="false">TEXT(A158,"mmm-yyyy")</f>
        <v>Apr-2025</v>
      </c>
    </row>
    <row r="159" customFormat="false" ht="15" hidden="false" customHeight="false" outlineLevel="0" collapsed="false">
      <c r="A159" s="3" t="n">
        <v>45756</v>
      </c>
      <c r="B159" s="4" t="s">
        <v>7</v>
      </c>
      <c r="C159" s="4" t="s">
        <v>12</v>
      </c>
      <c r="D159" s="4" t="s">
        <v>9</v>
      </c>
      <c r="E159" s="5" t="n">
        <v>9976.29</v>
      </c>
      <c r="F159" s="4" t="str">
        <f aca="false">TEXT(A159,"mmm-yyyy")</f>
        <v>Apr-2025</v>
      </c>
    </row>
    <row r="160" customFormat="false" ht="15" hidden="false" customHeight="false" outlineLevel="0" collapsed="false">
      <c r="A160" s="3" t="n">
        <v>45756</v>
      </c>
      <c r="B160" s="4" t="s">
        <v>24</v>
      </c>
      <c r="C160" s="4" t="s">
        <v>14</v>
      </c>
      <c r="D160" s="4" t="s">
        <v>9</v>
      </c>
      <c r="E160" s="5" t="n">
        <v>-4845.27</v>
      </c>
      <c r="F160" s="4" t="str">
        <f aca="false">TEXT(A160,"mmm-yyyy")</f>
        <v>Apr-2025</v>
      </c>
    </row>
    <row r="161" customFormat="false" ht="15" hidden="false" customHeight="false" outlineLevel="0" collapsed="false">
      <c r="A161" s="3" t="n">
        <v>45757</v>
      </c>
      <c r="B161" s="4" t="s">
        <v>11</v>
      </c>
      <c r="C161" s="4" t="s">
        <v>18</v>
      </c>
      <c r="D161" s="4" t="s">
        <v>10</v>
      </c>
      <c r="E161" s="5" t="n">
        <v>2999.99</v>
      </c>
      <c r="F161" s="4" t="str">
        <f aca="false">TEXT(A161,"mmm-yyyy")</f>
        <v>Apr-2025</v>
      </c>
    </row>
    <row r="162" customFormat="false" ht="15" hidden="false" customHeight="false" outlineLevel="0" collapsed="false">
      <c r="A162" s="3" t="n">
        <v>45758</v>
      </c>
      <c r="B162" s="4" t="s">
        <v>21</v>
      </c>
      <c r="C162" s="4" t="s">
        <v>14</v>
      </c>
      <c r="D162" s="4" t="s">
        <v>9</v>
      </c>
      <c r="E162" s="5" t="n">
        <v>-2346.8</v>
      </c>
      <c r="F162" s="4" t="str">
        <f aca="false">TEXT(A162,"mmm-yyyy")</f>
        <v>Apr-2025</v>
      </c>
    </row>
    <row r="163" customFormat="false" ht="15" hidden="false" customHeight="false" outlineLevel="0" collapsed="false">
      <c r="A163" s="3" t="n">
        <v>45758</v>
      </c>
      <c r="B163" s="4" t="s">
        <v>7</v>
      </c>
      <c r="C163" s="4" t="s">
        <v>14</v>
      </c>
      <c r="D163" s="4" t="s">
        <v>15</v>
      </c>
      <c r="E163" s="5" t="n">
        <v>9296.42</v>
      </c>
      <c r="F163" s="4" t="str">
        <f aca="false">TEXT(A163,"mmm-yyyy")</f>
        <v>Apr-2025</v>
      </c>
    </row>
    <row r="164" customFormat="false" ht="15" hidden="false" customHeight="false" outlineLevel="0" collapsed="false">
      <c r="A164" s="3" t="n">
        <v>45758</v>
      </c>
      <c r="B164" s="4" t="s">
        <v>22</v>
      </c>
      <c r="C164" s="4" t="s">
        <v>14</v>
      </c>
      <c r="D164" s="4" t="s">
        <v>15</v>
      </c>
      <c r="E164" s="5" t="n">
        <v>-2177.12</v>
      </c>
      <c r="F164" s="4" t="str">
        <f aca="false">TEXT(A164,"mmm-yyyy")</f>
        <v>Apr-2025</v>
      </c>
    </row>
    <row r="165" customFormat="false" ht="15" hidden="false" customHeight="false" outlineLevel="0" collapsed="false">
      <c r="A165" s="3" t="n">
        <v>45759</v>
      </c>
      <c r="B165" s="4" t="s">
        <v>21</v>
      </c>
      <c r="C165" s="4" t="s">
        <v>8</v>
      </c>
      <c r="D165" s="4" t="s">
        <v>15</v>
      </c>
      <c r="E165" s="5" t="n">
        <v>-2915.2</v>
      </c>
      <c r="F165" s="4" t="str">
        <f aca="false">TEXT(A165,"mmm-yyyy")</f>
        <v>Apr-2025</v>
      </c>
    </row>
    <row r="166" customFormat="false" ht="15" hidden="false" customHeight="false" outlineLevel="0" collapsed="false">
      <c r="A166" s="3" t="n">
        <v>45760</v>
      </c>
      <c r="B166" s="4" t="s">
        <v>7</v>
      </c>
      <c r="C166" s="4" t="s">
        <v>12</v>
      </c>
      <c r="D166" s="4" t="s">
        <v>15</v>
      </c>
      <c r="E166" s="5" t="n">
        <v>5547.86</v>
      </c>
      <c r="F166" s="4" t="str">
        <f aca="false">TEXT(A166,"mmm-yyyy")</f>
        <v>Apr-2025</v>
      </c>
    </row>
    <row r="167" customFormat="false" ht="15" hidden="false" customHeight="false" outlineLevel="0" collapsed="false">
      <c r="A167" s="3" t="n">
        <v>45761</v>
      </c>
      <c r="B167" s="4" t="s">
        <v>11</v>
      </c>
      <c r="C167" s="4" t="s">
        <v>18</v>
      </c>
      <c r="D167" s="4" t="s">
        <v>9</v>
      </c>
      <c r="E167" s="5" t="n">
        <v>8080</v>
      </c>
      <c r="F167" s="4" t="str">
        <f aca="false">TEXT(A167,"mmm-yyyy")</f>
        <v>Apr-2025</v>
      </c>
    </row>
    <row r="168" customFormat="false" ht="15" hidden="false" customHeight="false" outlineLevel="0" collapsed="false">
      <c r="A168" s="3" t="n">
        <v>45763</v>
      </c>
      <c r="B168" s="4" t="s">
        <v>11</v>
      </c>
      <c r="C168" s="4" t="s">
        <v>18</v>
      </c>
      <c r="D168" s="4" t="s">
        <v>9</v>
      </c>
      <c r="E168" s="5" t="n">
        <v>10132.13</v>
      </c>
      <c r="F168" s="4" t="str">
        <f aca="false">TEXT(A168,"mmm-yyyy")</f>
        <v>Apr-2025</v>
      </c>
    </row>
    <row r="169" customFormat="false" ht="15" hidden="false" customHeight="false" outlineLevel="0" collapsed="false">
      <c r="A169" s="3" t="n">
        <v>45764</v>
      </c>
      <c r="B169" s="4" t="s">
        <v>17</v>
      </c>
      <c r="C169" s="4" t="s">
        <v>12</v>
      </c>
      <c r="D169" s="4" t="s">
        <v>13</v>
      </c>
      <c r="E169" s="5" t="n">
        <v>-3827.63</v>
      </c>
      <c r="F169" s="4" t="str">
        <f aca="false">TEXT(A169,"mmm-yyyy")</f>
        <v>Apr-2025</v>
      </c>
    </row>
    <row r="170" customFormat="false" ht="15" hidden="false" customHeight="false" outlineLevel="0" collapsed="false">
      <c r="A170" s="3" t="n">
        <v>45765</v>
      </c>
      <c r="B170" s="4" t="s">
        <v>19</v>
      </c>
      <c r="C170" s="4" t="s">
        <v>14</v>
      </c>
      <c r="D170" s="4" t="s">
        <v>9</v>
      </c>
      <c r="E170" s="5" t="n">
        <v>-2516</v>
      </c>
      <c r="F170" s="4" t="str">
        <f aca="false">TEXT(A170,"mmm-yyyy")</f>
        <v>Apr-2025</v>
      </c>
    </row>
    <row r="171" customFormat="false" ht="15" hidden="false" customHeight="false" outlineLevel="0" collapsed="false">
      <c r="A171" s="3" t="n">
        <v>45767</v>
      </c>
      <c r="B171" s="4" t="s">
        <v>24</v>
      </c>
      <c r="C171" s="4" t="s">
        <v>18</v>
      </c>
      <c r="D171" s="4" t="s">
        <v>9</v>
      </c>
      <c r="E171" s="5" t="n">
        <v>-1824.53</v>
      </c>
      <c r="F171" s="4" t="str">
        <f aca="false">TEXT(A171,"mmm-yyyy")</f>
        <v>Apr-2025</v>
      </c>
    </row>
    <row r="172" customFormat="false" ht="15" hidden="false" customHeight="false" outlineLevel="0" collapsed="false">
      <c r="A172" s="3" t="n">
        <v>45767</v>
      </c>
      <c r="B172" s="4" t="s">
        <v>7</v>
      </c>
      <c r="C172" s="4" t="s">
        <v>8</v>
      </c>
      <c r="D172" s="4" t="s">
        <v>15</v>
      </c>
      <c r="E172" s="5" t="n">
        <v>7912.2</v>
      </c>
      <c r="F172" s="4" t="str">
        <f aca="false">TEXT(A172,"mmm-yyyy")</f>
        <v>Apr-2025</v>
      </c>
    </row>
    <row r="173" customFormat="false" ht="15" hidden="false" customHeight="false" outlineLevel="0" collapsed="false">
      <c r="A173" s="3" t="n">
        <v>45768</v>
      </c>
      <c r="B173" s="4" t="s">
        <v>11</v>
      </c>
      <c r="C173" s="4" t="s">
        <v>14</v>
      </c>
      <c r="D173" s="4" t="s">
        <v>9</v>
      </c>
      <c r="E173" s="5" t="n">
        <v>12114.35</v>
      </c>
      <c r="F173" s="4" t="str">
        <f aca="false">TEXT(A173,"mmm-yyyy")</f>
        <v>Apr-2025</v>
      </c>
    </row>
    <row r="174" customFormat="false" ht="15" hidden="false" customHeight="false" outlineLevel="0" collapsed="false">
      <c r="A174" s="3" t="n">
        <v>45768</v>
      </c>
      <c r="B174" s="4" t="s">
        <v>21</v>
      </c>
      <c r="C174" s="4" t="s">
        <v>12</v>
      </c>
      <c r="D174" s="4" t="s">
        <v>15</v>
      </c>
      <c r="E174" s="5" t="n">
        <v>-3766.27</v>
      </c>
      <c r="F174" s="4" t="str">
        <f aca="false">TEXT(A174,"mmm-yyyy")</f>
        <v>Apr-2025</v>
      </c>
    </row>
    <row r="175" customFormat="false" ht="15" hidden="false" customHeight="false" outlineLevel="0" collapsed="false">
      <c r="A175" s="3" t="n">
        <v>45768</v>
      </c>
      <c r="B175" s="4" t="s">
        <v>21</v>
      </c>
      <c r="C175" s="4" t="s">
        <v>14</v>
      </c>
      <c r="D175" s="4" t="s">
        <v>13</v>
      </c>
      <c r="E175" s="5" t="n">
        <v>-2999.26</v>
      </c>
      <c r="F175" s="4" t="str">
        <f aca="false">TEXT(A175,"mmm-yyyy")</f>
        <v>Apr-2025</v>
      </c>
    </row>
    <row r="176" customFormat="false" ht="15" hidden="false" customHeight="false" outlineLevel="0" collapsed="false">
      <c r="A176" s="3" t="n">
        <v>45770</v>
      </c>
      <c r="B176" s="4" t="s">
        <v>11</v>
      </c>
      <c r="C176" s="4" t="s">
        <v>8</v>
      </c>
      <c r="D176" s="4" t="s">
        <v>9</v>
      </c>
      <c r="E176" s="5" t="n">
        <v>4707.12</v>
      </c>
      <c r="F176" s="4" t="str">
        <f aca="false">TEXT(A176,"mmm-yyyy")</f>
        <v>Apr-2025</v>
      </c>
    </row>
    <row r="177" customFormat="false" ht="15" hidden="false" customHeight="false" outlineLevel="0" collapsed="false">
      <c r="A177" s="3" t="n">
        <v>45770</v>
      </c>
      <c r="B177" s="4" t="s">
        <v>16</v>
      </c>
      <c r="C177" s="4" t="s">
        <v>18</v>
      </c>
      <c r="D177" s="4" t="s">
        <v>9</v>
      </c>
      <c r="E177" s="5" t="n">
        <v>-5328.94</v>
      </c>
      <c r="F177" s="4" t="str">
        <f aca="false">TEXT(A177,"mmm-yyyy")</f>
        <v>Apr-2025</v>
      </c>
    </row>
    <row r="178" customFormat="false" ht="15" hidden="false" customHeight="false" outlineLevel="0" collapsed="false">
      <c r="A178" s="3" t="n">
        <v>45771</v>
      </c>
      <c r="B178" s="4" t="s">
        <v>20</v>
      </c>
      <c r="C178" s="4" t="s">
        <v>12</v>
      </c>
      <c r="D178" s="4" t="s">
        <v>15</v>
      </c>
      <c r="E178" s="5" t="n">
        <v>-1199.1</v>
      </c>
      <c r="F178" s="4" t="str">
        <f aca="false">TEXT(A178,"mmm-yyyy")</f>
        <v>Apr-2025</v>
      </c>
    </row>
    <row r="179" customFormat="false" ht="15" hidden="false" customHeight="false" outlineLevel="0" collapsed="false">
      <c r="A179" s="3" t="n">
        <v>45771</v>
      </c>
      <c r="B179" s="4" t="s">
        <v>19</v>
      </c>
      <c r="C179" s="4" t="s">
        <v>14</v>
      </c>
      <c r="D179" s="4" t="s">
        <v>15</v>
      </c>
      <c r="E179" s="5" t="n">
        <v>-1548.5</v>
      </c>
      <c r="F179" s="4" t="str">
        <f aca="false">TEXT(A179,"mmm-yyyy")</f>
        <v>Apr-2025</v>
      </c>
    </row>
    <row r="180" customFormat="false" ht="15" hidden="false" customHeight="false" outlineLevel="0" collapsed="false">
      <c r="A180" s="3" t="n">
        <v>45772</v>
      </c>
      <c r="B180" s="4" t="s">
        <v>24</v>
      </c>
      <c r="C180" s="4" t="s">
        <v>18</v>
      </c>
      <c r="D180" s="4" t="s">
        <v>15</v>
      </c>
      <c r="E180" s="5" t="n">
        <v>-3965.75</v>
      </c>
      <c r="F180" s="4" t="str">
        <f aca="false">TEXT(A180,"mmm-yyyy")</f>
        <v>Apr-2025</v>
      </c>
    </row>
    <row r="181" customFormat="false" ht="15" hidden="false" customHeight="false" outlineLevel="0" collapsed="false">
      <c r="A181" s="3" t="n">
        <v>45774</v>
      </c>
      <c r="B181" s="4" t="s">
        <v>24</v>
      </c>
      <c r="C181" s="4" t="s">
        <v>14</v>
      </c>
      <c r="D181" s="4" t="s">
        <v>15</v>
      </c>
      <c r="E181" s="5" t="n">
        <v>-1847.37</v>
      </c>
      <c r="F181" s="4" t="str">
        <f aca="false">TEXT(A181,"mmm-yyyy")</f>
        <v>Apr-2025</v>
      </c>
    </row>
    <row r="182" customFormat="false" ht="15" hidden="false" customHeight="false" outlineLevel="0" collapsed="false">
      <c r="A182" s="3" t="n">
        <v>45774</v>
      </c>
      <c r="B182" s="4" t="s">
        <v>11</v>
      </c>
      <c r="C182" s="4" t="s">
        <v>18</v>
      </c>
      <c r="D182" s="4" t="s">
        <v>15</v>
      </c>
      <c r="E182" s="5" t="n">
        <v>6857.9</v>
      </c>
      <c r="F182" s="4" t="str">
        <f aca="false">TEXT(A182,"mmm-yyyy")</f>
        <v>Apr-2025</v>
      </c>
    </row>
    <row r="183" customFormat="false" ht="15" hidden="false" customHeight="false" outlineLevel="0" collapsed="false">
      <c r="A183" s="3" t="n">
        <v>45775</v>
      </c>
      <c r="B183" s="4" t="s">
        <v>16</v>
      </c>
      <c r="C183" s="4" t="s">
        <v>12</v>
      </c>
      <c r="D183" s="4" t="s">
        <v>9</v>
      </c>
      <c r="E183" s="5" t="n">
        <v>-4138.27</v>
      </c>
      <c r="F183" s="4" t="str">
        <f aca="false">TEXT(A183,"mmm-yyyy")</f>
        <v>Apr-2025</v>
      </c>
    </row>
    <row r="184" customFormat="false" ht="15" hidden="false" customHeight="false" outlineLevel="0" collapsed="false">
      <c r="A184" s="3" t="n">
        <v>45777</v>
      </c>
      <c r="B184" s="4" t="s">
        <v>24</v>
      </c>
      <c r="C184" s="4" t="s">
        <v>12</v>
      </c>
      <c r="D184" s="4" t="s">
        <v>9</v>
      </c>
      <c r="E184" s="5" t="n">
        <v>-2226.6</v>
      </c>
      <c r="F184" s="4" t="str">
        <f aca="false">TEXT(A184,"mmm-yyyy")</f>
        <v>Apr-2025</v>
      </c>
    </row>
    <row r="185" customFormat="false" ht="15" hidden="false" customHeight="false" outlineLevel="0" collapsed="false">
      <c r="A185" s="3" t="n">
        <v>45778</v>
      </c>
      <c r="B185" s="4" t="s">
        <v>7</v>
      </c>
      <c r="C185" s="4" t="s">
        <v>12</v>
      </c>
      <c r="D185" s="4" t="s">
        <v>9</v>
      </c>
      <c r="E185" s="5" t="n">
        <v>8112.97</v>
      </c>
      <c r="F185" s="4" t="str">
        <f aca="false">TEXT(A185,"mmm-yyyy")</f>
        <v>May-2025</v>
      </c>
    </row>
    <row r="186" customFormat="false" ht="15" hidden="false" customHeight="false" outlineLevel="0" collapsed="false">
      <c r="A186" s="3" t="n">
        <v>45778</v>
      </c>
      <c r="B186" s="4" t="s">
        <v>7</v>
      </c>
      <c r="C186" s="4" t="s">
        <v>18</v>
      </c>
      <c r="D186" s="4" t="s">
        <v>13</v>
      </c>
      <c r="E186" s="5" t="n">
        <v>7316.91</v>
      </c>
      <c r="F186" s="4" t="str">
        <f aca="false">TEXT(A186,"mmm-yyyy")</f>
        <v>May-2025</v>
      </c>
    </row>
    <row r="187" customFormat="false" ht="15" hidden="false" customHeight="false" outlineLevel="0" collapsed="false">
      <c r="A187" s="3" t="n">
        <v>45779</v>
      </c>
      <c r="B187" s="4" t="s">
        <v>7</v>
      </c>
      <c r="C187" s="4" t="s">
        <v>14</v>
      </c>
      <c r="D187" s="4" t="s">
        <v>9</v>
      </c>
      <c r="E187" s="5" t="n">
        <v>7301.18</v>
      </c>
      <c r="F187" s="4" t="str">
        <f aca="false">TEXT(A187,"mmm-yyyy")</f>
        <v>May-2025</v>
      </c>
    </row>
    <row r="188" customFormat="false" ht="15" hidden="false" customHeight="false" outlineLevel="0" collapsed="false">
      <c r="A188" s="3" t="n">
        <v>45780</v>
      </c>
      <c r="B188" s="4" t="s">
        <v>19</v>
      </c>
      <c r="C188" s="4" t="s">
        <v>14</v>
      </c>
      <c r="D188" s="4" t="s">
        <v>15</v>
      </c>
      <c r="E188" s="5" t="n">
        <v>-245.17</v>
      </c>
      <c r="F188" s="4" t="str">
        <f aca="false">TEXT(A188,"mmm-yyyy")</f>
        <v>May-2025</v>
      </c>
    </row>
    <row r="189" customFormat="false" ht="15" hidden="false" customHeight="false" outlineLevel="0" collapsed="false">
      <c r="A189" s="3" t="n">
        <v>45782</v>
      </c>
      <c r="B189" s="4" t="s">
        <v>7</v>
      </c>
      <c r="C189" s="4" t="s">
        <v>12</v>
      </c>
      <c r="D189" s="4" t="s">
        <v>15</v>
      </c>
      <c r="E189" s="5" t="n">
        <v>10915.34</v>
      </c>
      <c r="F189" s="4" t="str">
        <f aca="false">TEXT(A189,"mmm-yyyy")</f>
        <v>May-2025</v>
      </c>
    </row>
    <row r="190" customFormat="false" ht="15" hidden="false" customHeight="false" outlineLevel="0" collapsed="false">
      <c r="A190" s="3" t="n">
        <v>45783</v>
      </c>
      <c r="B190" s="4" t="s">
        <v>11</v>
      </c>
      <c r="C190" s="4" t="s">
        <v>18</v>
      </c>
      <c r="D190" s="4" t="s">
        <v>15</v>
      </c>
      <c r="E190" s="5" t="n">
        <v>6192.8</v>
      </c>
      <c r="F190" s="4" t="str">
        <f aca="false">TEXT(A190,"mmm-yyyy")</f>
        <v>May-2025</v>
      </c>
    </row>
    <row r="191" customFormat="false" ht="15" hidden="false" customHeight="false" outlineLevel="0" collapsed="false">
      <c r="A191" s="3" t="n">
        <v>45783</v>
      </c>
      <c r="B191" s="4" t="s">
        <v>11</v>
      </c>
      <c r="C191" s="4" t="s">
        <v>18</v>
      </c>
      <c r="D191" s="4" t="s">
        <v>15</v>
      </c>
      <c r="E191" s="5" t="n">
        <v>1849.86</v>
      </c>
      <c r="F191" s="4" t="str">
        <f aca="false">TEXT(A191,"mmm-yyyy")</f>
        <v>May-2025</v>
      </c>
    </row>
    <row r="192" customFormat="false" ht="15" hidden="false" customHeight="false" outlineLevel="0" collapsed="false">
      <c r="A192" s="3" t="n">
        <v>45784</v>
      </c>
      <c r="B192" s="4" t="s">
        <v>7</v>
      </c>
      <c r="C192" s="4" t="s">
        <v>8</v>
      </c>
      <c r="D192" s="4" t="s">
        <v>9</v>
      </c>
      <c r="E192" s="5" t="n">
        <v>15388.15</v>
      </c>
      <c r="F192" s="4" t="str">
        <f aca="false">TEXT(A192,"mmm-yyyy")</f>
        <v>May-2025</v>
      </c>
    </row>
    <row r="193" customFormat="false" ht="15" hidden="false" customHeight="false" outlineLevel="0" collapsed="false">
      <c r="A193" s="3" t="n">
        <v>45785</v>
      </c>
      <c r="B193" s="4" t="s">
        <v>21</v>
      </c>
      <c r="C193" s="4" t="s">
        <v>18</v>
      </c>
      <c r="D193" s="4" t="s">
        <v>15</v>
      </c>
      <c r="E193" s="5" t="n">
        <v>-3714.03</v>
      </c>
      <c r="F193" s="4" t="str">
        <f aca="false">TEXT(A193,"mmm-yyyy")</f>
        <v>May-2025</v>
      </c>
    </row>
    <row r="194" customFormat="false" ht="15" hidden="false" customHeight="false" outlineLevel="0" collapsed="false">
      <c r="A194" s="3" t="n">
        <v>45785</v>
      </c>
      <c r="B194" s="4" t="s">
        <v>11</v>
      </c>
      <c r="C194" s="4" t="s">
        <v>14</v>
      </c>
      <c r="D194" s="4" t="s">
        <v>9</v>
      </c>
      <c r="E194" s="5" t="n">
        <v>7938.12</v>
      </c>
      <c r="F194" s="4" t="str">
        <f aca="false">TEXT(A194,"mmm-yyyy")</f>
        <v>May-2025</v>
      </c>
    </row>
    <row r="195" customFormat="false" ht="15" hidden="false" customHeight="false" outlineLevel="0" collapsed="false">
      <c r="A195" s="3" t="n">
        <v>45786</v>
      </c>
      <c r="B195" s="4" t="s">
        <v>17</v>
      </c>
      <c r="C195" s="4" t="s">
        <v>18</v>
      </c>
      <c r="D195" s="4" t="s">
        <v>13</v>
      </c>
      <c r="E195" s="5" t="n">
        <v>-3076.62</v>
      </c>
      <c r="F195" s="4" t="str">
        <f aca="false">TEXT(A195,"mmm-yyyy")</f>
        <v>May-2025</v>
      </c>
    </row>
    <row r="196" customFormat="false" ht="15" hidden="false" customHeight="false" outlineLevel="0" collapsed="false">
      <c r="A196" s="3" t="n">
        <v>45788</v>
      </c>
      <c r="B196" s="4" t="s">
        <v>7</v>
      </c>
      <c r="C196" s="4" t="s">
        <v>14</v>
      </c>
      <c r="D196" s="4" t="s">
        <v>9</v>
      </c>
      <c r="E196" s="5" t="n">
        <v>8500.21</v>
      </c>
      <c r="F196" s="4" t="str">
        <f aca="false">TEXT(A196,"mmm-yyyy")</f>
        <v>May-2025</v>
      </c>
    </row>
    <row r="197" customFormat="false" ht="15" hidden="false" customHeight="false" outlineLevel="0" collapsed="false">
      <c r="A197" s="3" t="n">
        <v>45788</v>
      </c>
      <c r="B197" s="4" t="s">
        <v>11</v>
      </c>
      <c r="C197" s="4" t="s">
        <v>14</v>
      </c>
      <c r="D197" s="4" t="s">
        <v>15</v>
      </c>
      <c r="E197" s="5" t="n">
        <v>6244.88</v>
      </c>
      <c r="F197" s="4" t="str">
        <f aca="false">TEXT(A197,"mmm-yyyy")</f>
        <v>May-2025</v>
      </c>
    </row>
    <row r="198" customFormat="false" ht="15" hidden="false" customHeight="false" outlineLevel="0" collapsed="false">
      <c r="A198" s="3" t="n">
        <v>45789</v>
      </c>
      <c r="B198" s="4" t="s">
        <v>19</v>
      </c>
      <c r="C198" s="4" t="s">
        <v>8</v>
      </c>
      <c r="D198" s="4" t="s">
        <v>15</v>
      </c>
      <c r="E198" s="5" t="n">
        <v>-2708.86</v>
      </c>
      <c r="F198" s="4" t="str">
        <f aca="false">TEXT(A198,"mmm-yyyy")</f>
        <v>May-2025</v>
      </c>
    </row>
    <row r="199" customFormat="false" ht="15" hidden="false" customHeight="false" outlineLevel="0" collapsed="false">
      <c r="A199" s="3" t="n">
        <v>45790</v>
      </c>
      <c r="B199" s="4" t="s">
        <v>7</v>
      </c>
      <c r="C199" s="4" t="s">
        <v>8</v>
      </c>
      <c r="D199" s="4" t="s">
        <v>10</v>
      </c>
      <c r="E199" s="5" t="n">
        <v>8975.15</v>
      </c>
      <c r="F199" s="4" t="str">
        <f aca="false">TEXT(A199,"mmm-yyyy")</f>
        <v>May-2025</v>
      </c>
    </row>
    <row r="200" customFormat="false" ht="15" hidden="false" customHeight="false" outlineLevel="0" collapsed="false">
      <c r="A200" s="3" t="n">
        <v>45790</v>
      </c>
      <c r="B200" s="4" t="s">
        <v>11</v>
      </c>
      <c r="C200" s="4" t="s">
        <v>12</v>
      </c>
      <c r="D200" s="4" t="s">
        <v>15</v>
      </c>
      <c r="E200" s="5" t="n">
        <v>12075.43</v>
      </c>
      <c r="F200" s="4" t="str">
        <f aca="false">TEXT(A200,"mmm-yyyy")</f>
        <v>May-2025</v>
      </c>
    </row>
    <row r="201" customFormat="false" ht="15" hidden="false" customHeight="false" outlineLevel="0" collapsed="false">
      <c r="A201" s="3" t="n">
        <v>45791</v>
      </c>
      <c r="B201" s="4" t="s">
        <v>21</v>
      </c>
      <c r="C201" s="4" t="s">
        <v>8</v>
      </c>
      <c r="D201" s="4" t="s">
        <v>15</v>
      </c>
      <c r="E201" s="5" t="n">
        <v>-4631.08</v>
      </c>
      <c r="F201" s="4" t="str">
        <f aca="false">TEXT(A201,"mmm-yyyy")</f>
        <v>May-2025</v>
      </c>
    </row>
    <row r="202" customFormat="false" ht="15" hidden="false" customHeight="false" outlineLevel="0" collapsed="false">
      <c r="A202" s="3" t="n">
        <v>45791</v>
      </c>
      <c r="B202" s="4" t="s">
        <v>7</v>
      </c>
      <c r="C202" s="4" t="s">
        <v>12</v>
      </c>
      <c r="D202" s="4" t="s">
        <v>15</v>
      </c>
      <c r="E202" s="5" t="n">
        <v>7185.76</v>
      </c>
      <c r="F202" s="4" t="str">
        <f aca="false">TEXT(A202,"mmm-yyyy")</f>
        <v>May-2025</v>
      </c>
    </row>
    <row r="203" customFormat="false" ht="15" hidden="false" customHeight="false" outlineLevel="0" collapsed="false">
      <c r="A203" s="3" t="n">
        <v>45792</v>
      </c>
      <c r="B203" s="4" t="s">
        <v>7</v>
      </c>
      <c r="C203" s="4" t="s">
        <v>8</v>
      </c>
      <c r="D203" s="4" t="s">
        <v>15</v>
      </c>
      <c r="E203" s="5" t="n">
        <v>9091.83</v>
      </c>
      <c r="F203" s="4" t="str">
        <f aca="false">TEXT(A203,"mmm-yyyy")</f>
        <v>May-2025</v>
      </c>
    </row>
    <row r="204" customFormat="false" ht="15" hidden="false" customHeight="false" outlineLevel="0" collapsed="false">
      <c r="A204" s="3" t="n">
        <v>45793</v>
      </c>
      <c r="B204" s="4" t="s">
        <v>19</v>
      </c>
      <c r="C204" s="4" t="s">
        <v>8</v>
      </c>
      <c r="D204" s="4" t="s">
        <v>13</v>
      </c>
      <c r="E204" s="5" t="n">
        <v>-2086.01</v>
      </c>
      <c r="F204" s="4" t="str">
        <f aca="false">TEXT(A204,"mmm-yyyy")</f>
        <v>May-2025</v>
      </c>
    </row>
    <row r="205" customFormat="false" ht="15" hidden="false" customHeight="false" outlineLevel="0" collapsed="false">
      <c r="A205" s="3" t="n">
        <v>45793</v>
      </c>
      <c r="B205" s="4" t="s">
        <v>19</v>
      </c>
      <c r="C205" s="4" t="s">
        <v>8</v>
      </c>
      <c r="D205" s="4" t="s">
        <v>10</v>
      </c>
      <c r="E205" s="5" t="n">
        <v>-3559.17</v>
      </c>
      <c r="F205" s="4" t="str">
        <f aca="false">TEXT(A205,"mmm-yyyy")</f>
        <v>May-2025</v>
      </c>
    </row>
    <row r="206" customFormat="false" ht="15" hidden="false" customHeight="false" outlineLevel="0" collapsed="false">
      <c r="A206" s="3" t="n">
        <v>45793</v>
      </c>
      <c r="B206" s="4" t="s">
        <v>11</v>
      </c>
      <c r="C206" s="4" t="s">
        <v>18</v>
      </c>
      <c r="D206" s="4" t="s">
        <v>15</v>
      </c>
      <c r="E206" s="5" t="n">
        <v>8683.18</v>
      </c>
      <c r="F206" s="4" t="str">
        <f aca="false">TEXT(A206,"mmm-yyyy")</f>
        <v>May-2025</v>
      </c>
    </row>
    <row r="207" customFormat="false" ht="15" hidden="false" customHeight="false" outlineLevel="0" collapsed="false">
      <c r="A207" s="3" t="n">
        <v>45793</v>
      </c>
      <c r="B207" s="4" t="s">
        <v>23</v>
      </c>
      <c r="C207" s="4" t="s">
        <v>8</v>
      </c>
      <c r="D207" s="4" t="s">
        <v>10</v>
      </c>
      <c r="E207" s="5" t="n">
        <v>67.24</v>
      </c>
      <c r="F207" s="4" t="str">
        <f aca="false">TEXT(A207,"mmm-yyyy")</f>
        <v>May-2025</v>
      </c>
    </row>
    <row r="208" customFormat="false" ht="15" hidden="false" customHeight="false" outlineLevel="0" collapsed="false">
      <c r="A208" s="3" t="n">
        <v>45793</v>
      </c>
      <c r="B208" s="4" t="s">
        <v>19</v>
      </c>
      <c r="C208" s="4" t="s">
        <v>18</v>
      </c>
      <c r="D208" s="4" t="s">
        <v>9</v>
      </c>
      <c r="E208" s="5" t="n">
        <v>-1904.93</v>
      </c>
      <c r="F208" s="4" t="str">
        <f aca="false">TEXT(A208,"mmm-yyyy")</f>
        <v>May-2025</v>
      </c>
    </row>
    <row r="209" customFormat="false" ht="15" hidden="false" customHeight="false" outlineLevel="0" collapsed="false">
      <c r="A209" s="3" t="n">
        <v>45793</v>
      </c>
      <c r="B209" s="4" t="s">
        <v>7</v>
      </c>
      <c r="C209" s="4" t="s">
        <v>14</v>
      </c>
      <c r="D209" s="4" t="s">
        <v>15</v>
      </c>
      <c r="E209" s="5" t="n">
        <v>9271.85</v>
      </c>
      <c r="F209" s="4" t="str">
        <f aca="false">TEXT(A209,"mmm-yyyy")</f>
        <v>May-2025</v>
      </c>
    </row>
    <row r="210" customFormat="false" ht="15" hidden="false" customHeight="false" outlineLevel="0" collapsed="false">
      <c r="A210" s="3" t="n">
        <v>45794</v>
      </c>
      <c r="B210" s="4" t="s">
        <v>11</v>
      </c>
      <c r="C210" s="4" t="s">
        <v>14</v>
      </c>
      <c r="D210" s="4" t="s">
        <v>9</v>
      </c>
      <c r="E210" s="5" t="n">
        <v>9661.66</v>
      </c>
      <c r="F210" s="4" t="str">
        <f aca="false">TEXT(A210,"mmm-yyyy")</f>
        <v>May-2025</v>
      </c>
    </row>
    <row r="211" customFormat="false" ht="15" hidden="false" customHeight="false" outlineLevel="0" collapsed="false">
      <c r="A211" s="3" t="n">
        <v>45794</v>
      </c>
      <c r="B211" s="4" t="s">
        <v>20</v>
      </c>
      <c r="C211" s="4" t="s">
        <v>18</v>
      </c>
      <c r="D211" s="4" t="s">
        <v>15</v>
      </c>
      <c r="E211" s="5" t="n">
        <v>-3427.1</v>
      </c>
      <c r="F211" s="4" t="str">
        <f aca="false">TEXT(A211,"mmm-yyyy")</f>
        <v>May-2025</v>
      </c>
    </row>
    <row r="212" customFormat="false" ht="15" hidden="false" customHeight="false" outlineLevel="0" collapsed="false">
      <c r="A212" s="3" t="n">
        <v>45794</v>
      </c>
      <c r="B212" s="4" t="s">
        <v>7</v>
      </c>
      <c r="C212" s="4" t="s">
        <v>14</v>
      </c>
      <c r="D212" s="4" t="s">
        <v>15</v>
      </c>
      <c r="E212" s="5" t="n">
        <v>11358.08</v>
      </c>
      <c r="F212" s="4" t="str">
        <f aca="false">TEXT(A212,"mmm-yyyy")</f>
        <v>May-2025</v>
      </c>
    </row>
    <row r="213" customFormat="false" ht="15" hidden="false" customHeight="false" outlineLevel="0" collapsed="false">
      <c r="A213" s="3" t="n">
        <v>45795</v>
      </c>
      <c r="B213" s="4" t="s">
        <v>19</v>
      </c>
      <c r="C213" s="4" t="s">
        <v>12</v>
      </c>
      <c r="D213" s="4" t="s">
        <v>9</v>
      </c>
      <c r="E213" s="5" t="n">
        <v>-2008.75</v>
      </c>
      <c r="F213" s="4" t="str">
        <f aca="false">TEXT(A213,"mmm-yyyy")</f>
        <v>May-2025</v>
      </c>
    </row>
    <row r="214" customFormat="false" ht="15" hidden="false" customHeight="false" outlineLevel="0" collapsed="false">
      <c r="A214" s="3" t="n">
        <v>45795</v>
      </c>
      <c r="B214" s="4" t="s">
        <v>24</v>
      </c>
      <c r="C214" s="4" t="s">
        <v>8</v>
      </c>
      <c r="D214" s="4" t="s">
        <v>15</v>
      </c>
      <c r="E214" s="5" t="n">
        <v>-3854.97</v>
      </c>
      <c r="F214" s="4" t="str">
        <f aca="false">TEXT(A214,"mmm-yyyy")</f>
        <v>May-2025</v>
      </c>
    </row>
    <row r="215" customFormat="false" ht="15" hidden="false" customHeight="false" outlineLevel="0" collapsed="false">
      <c r="A215" s="3" t="n">
        <v>45797</v>
      </c>
      <c r="B215" s="4" t="s">
        <v>19</v>
      </c>
      <c r="C215" s="4" t="s">
        <v>8</v>
      </c>
      <c r="D215" s="4" t="s">
        <v>9</v>
      </c>
      <c r="E215" s="5" t="n">
        <v>-3830.7</v>
      </c>
      <c r="F215" s="4" t="str">
        <f aca="false">TEXT(A215,"mmm-yyyy")</f>
        <v>May-2025</v>
      </c>
    </row>
    <row r="216" customFormat="false" ht="15" hidden="false" customHeight="false" outlineLevel="0" collapsed="false">
      <c r="A216" s="3" t="n">
        <v>45797</v>
      </c>
      <c r="B216" s="4" t="s">
        <v>11</v>
      </c>
      <c r="C216" s="4" t="s">
        <v>8</v>
      </c>
      <c r="D216" s="4" t="s">
        <v>9</v>
      </c>
      <c r="E216" s="5" t="n">
        <v>9266.68</v>
      </c>
      <c r="F216" s="4" t="str">
        <f aca="false">TEXT(A216,"mmm-yyyy")</f>
        <v>May-2025</v>
      </c>
    </row>
    <row r="217" customFormat="false" ht="15" hidden="false" customHeight="false" outlineLevel="0" collapsed="false">
      <c r="A217" s="3" t="n">
        <v>45799</v>
      </c>
      <c r="B217" s="4" t="s">
        <v>22</v>
      </c>
      <c r="C217" s="4" t="s">
        <v>14</v>
      </c>
      <c r="D217" s="4" t="s">
        <v>10</v>
      </c>
      <c r="E217" s="5" t="n">
        <v>-3586.77</v>
      </c>
      <c r="F217" s="4" t="str">
        <f aca="false">TEXT(A217,"mmm-yyyy")</f>
        <v>May-2025</v>
      </c>
    </row>
    <row r="218" customFormat="false" ht="15" hidden="false" customHeight="false" outlineLevel="0" collapsed="false">
      <c r="A218" s="3" t="n">
        <v>45800</v>
      </c>
      <c r="B218" s="4" t="s">
        <v>7</v>
      </c>
      <c r="C218" s="4" t="s">
        <v>14</v>
      </c>
      <c r="D218" s="4" t="s">
        <v>9</v>
      </c>
      <c r="E218" s="5" t="n">
        <v>8790.69</v>
      </c>
      <c r="F218" s="4" t="str">
        <f aca="false">TEXT(A218,"mmm-yyyy")</f>
        <v>May-2025</v>
      </c>
    </row>
    <row r="219" customFormat="false" ht="15" hidden="false" customHeight="false" outlineLevel="0" collapsed="false">
      <c r="A219" s="3" t="n">
        <v>45801</v>
      </c>
      <c r="B219" s="4" t="s">
        <v>19</v>
      </c>
      <c r="C219" s="4" t="s">
        <v>18</v>
      </c>
      <c r="D219" s="4" t="s">
        <v>9</v>
      </c>
      <c r="E219" s="5" t="n">
        <v>-6367.87</v>
      </c>
      <c r="F219" s="4" t="str">
        <f aca="false">TEXT(A219,"mmm-yyyy")</f>
        <v>May-2025</v>
      </c>
    </row>
    <row r="220" customFormat="false" ht="15" hidden="false" customHeight="false" outlineLevel="0" collapsed="false">
      <c r="A220" s="3" t="n">
        <v>45802</v>
      </c>
      <c r="B220" s="4" t="s">
        <v>16</v>
      </c>
      <c r="C220" s="4" t="s">
        <v>18</v>
      </c>
      <c r="D220" s="4" t="s">
        <v>13</v>
      </c>
      <c r="E220" s="5" t="n">
        <v>-5642.54</v>
      </c>
      <c r="F220" s="4" t="str">
        <f aca="false">TEXT(A220,"mmm-yyyy")</f>
        <v>May-2025</v>
      </c>
    </row>
    <row r="221" customFormat="false" ht="15" hidden="false" customHeight="false" outlineLevel="0" collapsed="false">
      <c r="A221" s="3" t="n">
        <v>45802</v>
      </c>
      <c r="B221" s="4" t="s">
        <v>22</v>
      </c>
      <c r="C221" s="4" t="s">
        <v>14</v>
      </c>
      <c r="D221" s="4" t="s">
        <v>9</v>
      </c>
      <c r="E221" s="5" t="n">
        <v>-1746.49</v>
      </c>
      <c r="F221" s="4" t="str">
        <f aca="false">TEXT(A221,"mmm-yyyy")</f>
        <v>May-2025</v>
      </c>
    </row>
    <row r="222" customFormat="false" ht="15" hidden="false" customHeight="false" outlineLevel="0" collapsed="false">
      <c r="A222" s="3" t="n">
        <v>45803</v>
      </c>
      <c r="B222" s="4" t="s">
        <v>11</v>
      </c>
      <c r="C222" s="4" t="s">
        <v>8</v>
      </c>
      <c r="D222" s="4" t="s">
        <v>13</v>
      </c>
      <c r="E222" s="5" t="n">
        <v>5299.79</v>
      </c>
      <c r="F222" s="4" t="str">
        <f aca="false">TEXT(A222,"mmm-yyyy")</f>
        <v>May-2025</v>
      </c>
    </row>
    <row r="223" customFormat="false" ht="15" hidden="false" customHeight="false" outlineLevel="0" collapsed="false">
      <c r="A223" s="3" t="n">
        <v>45803</v>
      </c>
      <c r="B223" s="4" t="s">
        <v>11</v>
      </c>
      <c r="C223" s="4" t="s">
        <v>8</v>
      </c>
      <c r="D223" s="4" t="s">
        <v>15</v>
      </c>
      <c r="E223" s="5" t="n">
        <v>10993.46</v>
      </c>
      <c r="F223" s="4" t="str">
        <f aca="false">TEXT(A223,"mmm-yyyy")</f>
        <v>May-2025</v>
      </c>
    </row>
    <row r="224" customFormat="false" ht="15" hidden="false" customHeight="false" outlineLevel="0" collapsed="false">
      <c r="A224" s="3" t="n">
        <v>45804</v>
      </c>
      <c r="B224" s="4" t="s">
        <v>11</v>
      </c>
      <c r="C224" s="4" t="s">
        <v>18</v>
      </c>
      <c r="D224" s="4" t="s">
        <v>15</v>
      </c>
      <c r="E224" s="5" t="n">
        <v>4980.74</v>
      </c>
      <c r="F224" s="4" t="str">
        <f aca="false">TEXT(A224,"mmm-yyyy")</f>
        <v>May-2025</v>
      </c>
    </row>
    <row r="225" customFormat="false" ht="15" hidden="false" customHeight="false" outlineLevel="0" collapsed="false">
      <c r="A225" s="3" t="n">
        <v>45805</v>
      </c>
      <c r="B225" s="4" t="s">
        <v>11</v>
      </c>
      <c r="C225" s="4" t="s">
        <v>14</v>
      </c>
      <c r="D225" s="4" t="s">
        <v>9</v>
      </c>
      <c r="E225" s="5" t="n">
        <v>7878.15</v>
      </c>
      <c r="F225" s="4" t="str">
        <f aca="false">TEXT(A225,"mmm-yyyy")</f>
        <v>May-2025</v>
      </c>
    </row>
    <row r="226" customFormat="false" ht="15" hidden="false" customHeight="false" outlineLevel="0" collapsed="false">
      <c r="A226" s="3" t="n">
        <v>45806</v>
      </c>
      <c r="B226" s="4" t="s">
        <v>23</v>
      </c>
      <c r="C226" s="4" t="s">
        <v>14</v>
      </c>
      <c r="D226" s="4" t="s">
        <v>9</v>
      </c>
      <c r="E226" s="5" t="n">
        <v>-3855.31</v>
      </c>
      <c r="F226" s="4" t="str">
        <f aca="false">TEXT(A226,"mmm-yyyy")</f>
        <v>May-2025</v>
      </c>
    </row>
    <row r="227" customFormat="false" ht="15" hidden="false" customHeight="false" outlineLevel="0" collapsed="false">
      <c r="A227" s="3" t="n">
        <v>45806</v>
      </c>
      <c r="B227" s="4" t="s">
        <v>24</v>
      </c>
      <c r="C227" s="4" t="s">
        <v>12</v>
      </c>
      <c r="D227" s="4" t="s">
        <v>13</v>
      </c>
      <c r="E227" s="5" t="n">
        <v>-2802.98</v>
      </c>
      <c r="F227" s="4" t="str">
        <f aca="false">TEXT(A227,"mmm-yyyy")</f>
        <v>May-2025</v>
      </c>
    </row>
    <row r="228" customFormat="false" ht="15" hidden="false" customHeight="false" outlineLevel="0" collapsed="false">
      <c r="A228" s="3" t="n">
        <v>45807</v>
      </c>
      <c r="B228" s="4" t="s">
        <v>23</v>
      </c>
      <c r="C228" s="4" t="s">
        <v>12</v>
      </c>
      <c r="D228" s="4" t="s">
        <v>9</v>
      </c>
      <c r="E228" s="5" t="n">
        <v>-2140.71</v>
      </c>
      <c r="F228" s="4" t="str">
        <f aca="false">TEXT(A228,"mmm-yyyy")</f>
        <v>May-2025</v>
      </c>
    </row>
    <row r="229" customFormat="false" ht="15" hidden="false" customHeight="false" outlineLevel="0" collapsed="false">
      <c r="A229" s="3" t="n">
        <v>45807</v>
      </c>
      <c r="B229" s="4" t="s">
        <v>7</v>
      </c>
      <c r="C229" s="4" t="s">
        <v>18</v>
      </c>
      <c r="D229" s="4" t="s">
        <v>9</v>
      </c>
      <c r="E229" s="5" t="n">
        <v>9752.37</v>
      </c>
      <c r="F229" s="4" t="str">
        <f aca="false">TEXT(A229,"mmm-yyyy")</f>
        <v>May-2025</v>
      </c>
    </row>
    <row r="230" customFormat="false" ht="15" hidden="false" customHeight="false" outlineLevel="0" collapsed="false">
      <c r="A230" s="3" t="n">
        <v>45807</v>
      </c>
      <c r="B230" s="4" t="s">
        <v>19</v>
      </c>
      <c r="C230" s="4" t="s">
        <v>8</v>
      </c>
      <c r="D230" s="4" t="s">
        <v>15</v>
      </c>
      <c r="E230" s="5" t="n">
        <v>-3995.68</v>
      </c>
      <c r="F230" s="4" t="str">
        <f aca="false">TEXT(A230,"mmm-yyyy")</f>
        <v>May-2025</v>
      </c>
    </row>
    <row r="231" customFormat="false" ht="15" hidden="false" customHeight="false" outlineLevel="0" collapsed="false">
      <c r="A231" s="3" t="n">
        <v>45807</v>
      </c>
      <c r="B231" s="4" t="s">
        <v>19</v>
      </c>
      <c r="C231" s="4" t="s">
        <v>8</v>
      </c>
      <c r="D231" s="4" t="s">
        <v>15</v>
      </c>
      <c r="E231" s="5" t="n">
        <v>-2276.93</v>
      </c>
      <c r="F231" s="4" t="str">
        <f aca="false">TEXT(A231,"mmm-yyyy")</f>
        <v>May-2025</v>
      </c>
    </row>
    <row r="232" customFormat="false" ht="15" hidden="false" customHeight="false" outlineLevel="0" collapsed="false">
      <c r="A232" s="3" t="n">
        <v>45809</v>
      </c>
      <c r="B232" s="4" t="s">
        <v>11</v>
      </c>
      <c r="C232" s="4" t="s">
        <v>14</v>
      </c>
      <c r="D232" s="4" t="s">
        <v>15</v>
      </c>
      <c r="E232" s="5" t="n">
        <v>3814.75</v>
      </c>
      <c r="F232" s="4" t="str">
        <f aca="false">TEXT(A232,"mmm-yyyy")</f>
        <v>Jun-2025</v>
      </c>
    </row>
    <row r="233" customFormat="false" ht="15" hidden="false" customHeight="false" outlineLevel="0" collapsed="false">
      <c r="A233" s="3" t="n">
        <v>45809</v>
      </c>
      <c r="B233" s="4" t="s">
        <v>7</v>
      </c>
      <c r="C233" s="4" t="s">
        <v>12</v>
      </c>
      <c r="D233" s="4" t="s">
        <v>9</v>
      </c>
      <c r="E233" s="5" t="n">
        <v>10337.5</v>
      </c>
      <c r="F233" s="4" t="str">
        <f aca="false">TEXT(A233,"mmm-yyyy")</f>
        <v>Jun-2025</v>
      </c>
    </row>
    <row r="234" customFormat="false" ht="15" hidden="false" customHeight="false" outlineLevel="0" collapsed="false">
      <c r="A234" s="3" t="n">
        <v>45809</v>
      </c>
      <c r="B234" s="4" t="s">
        <v>7</v>
      </c>
      <c r="C234" s="4" t="s">
        <v>12</v>
      </c>
      <c r="D234" s="4" t="s">
        <v>9</v>
      </c>
      <c r="E234" s="5" t="n">
        <v>13085.39</v>
      </c>
      <c r="F234" s="4" t="str">
        <f aca="false">TEXT(A234,"mmm-yyyy")</f>
        <v>Jun-2025</v>
      </c>
    </row>
    <row r="235" customFormat="false" ht="15" hidden="false" customHeight="false" outlineLevel="0" collapsed="false">
      <c r="A235" s="3" t="n">
        <v>45809</v>
      </c>
      <c r="B235" s="4" t="s">
        <v>21</v>
      </c>
      <c r="C235" s="4" t="s">
        <v>8</v>
      </c>
      <c r="D235" s="4" t="s">
        <v>15</v>
      </c>
      <c r="E235" s="5" t="n">
        <v>-709.05</v>
      </c>
      <c r="F235" s="4" t="str">
        <f aca="false">TEXT(A235,"mmm-yyyy")</f>
        <v>Jun-2025</v>
      </c>
    </row>
    <row r="236" customFormat="false" ht="15" hidden="false" customHeight="false" outlineLevel="0" collapsed="false">
      <c r="A236" s="3" t="n">
        <v>45809</v>
      </c>
      <c r="B236" s="4" t="s">
        <v>21</v>
      </c>
      <c r="C236" s="4" t="s">
        <v>14</v>
      </c>
      <c r="D236" s="4" t="s">
        <v>9</v>
      </c>
      <c r="E236" s="5" t="n">
        <v>-1463.67</v>
      </c>
      <c r="F236" s="4" t="str">
        <f aca="false">TEXT(A236,"mmm-yyyy")</f>
        <v>Jun-2025</v>
      </c>
    </row>
    <row r="237" customFormat="false" ht="15" hidden="false" customHeight="false" outlineLevel="0" collapsed="false">
      <c r="A237" s="3" t="n">
        <v>45810</v>
      </c>
      <c r="B237" s="4" t="s">
        <v>11</v>
      </c>
      <c r="C237" s="4" t="s">
        <v>18</v>
      </c>
      <c r="D237" s="4" t="s">
        <v>9</v>
      </c>
      <c r="E237" s="5" t="n">
        <v>6527.88</v>
      </c>
      <c r="F237" s="4" t="str">
        <f aca="false">TEXT(A237,"mmm-yyyy")</f>
        <v>Jun-2025</v>
      </c>
    </row>
    <row r="238" customFormat="false" ht="15" hidden="false" customHeight="false" outlineLevel="0" collapsed="false">
      <c r="A238" s="3" t="n">
        <v>45811</v>
      </c>
      <c r="B238" s="4" t="s">
        <v>17</v>
      </c>
      <c r="C238" s="4" t="s">
        <v>14</v>
      </c>
      <c r="D238" s="4" t="s">
        <v>15</v>
      </c>
      <c r="E238" s="5" t="n">
        <v>1616.17</v>
      </c>
      <c r="F238" s="4" t="str">
        <f aca="false">TEXT(A238,"mmm-yyyy")</f>
        <v>Jun-2025</v>
      </c>
    </row>
    <row r="239" customFormat="false" ht="15" hidden="false" customHeight="false" outlineLevel="0" collapsed="false">
      <c r="A239" s="3" t="n">
        <v>45811</v>
      </c>
      <c r="B239" s="4" t="s">
        <v>20</v>
      </c>
      <c r="C239" s="4" t="s">
        <v>12</v>
      </c>
      <c r="D239" s="4" t="s">
        <v>15</v>
      </c>
      <c r="E239" s="5" t="n">
        <v>-2314</v>
      </c>
      <c r="F239" s="4" t="str">
        <f aca="false">TEXT(A239,"mmm-yyyy")</f>
        <v>Jun-2025</v>
      </c>
    </row>
    <row r="240" customFormat="false" ht="15" hidden="false" customHeight="false" outlineLevel="0" collapsed="false">
      <c r="A240" s="3" t="n">
        <v>45812</v>
      </c>
      <c r="B240" s="4" t="s">
        <v>11</v>
      </c>
      <c r="C240" s="4" t="s">
        <v>12</v>
      </c>
      <c r="D240" s="4" t="s">
        <v>15</v>
      </c>
      <c r="E240" s="5" t="n">
        <v>4224.27</v>
      </c>
      <c r="F240" s="4" t="str">
        <f aca="false">TEXT(A240,"mmm-yyyy")</f>
        <v>Jun-2025</v>
      </c>
    </row>
    <row r="241" customFormat="false" ht="15" hidden="false" customHeight="false" outlineLevel="0" collapsed="false">
      <c r="A241" s="3" t="n">
        <v>45812</v>
      </c>
      <c r="B241" s="4" t="s">
        <v>22</v>
      </c>
      <c r="C241" s="4" t="s">
        <v>18</v>
      </c>
      <c r="D241" s="4" t="s">
        <v>13</v>
      </c>
      <c r="E241" s="5" t="n">
        <v>-3323.67</v>
      </c>
      <c r="F241" s="4" t="str">
        <f aca="false">TEXT(A241,"mmm-yyyy")</f>
        <v>Jun-2025</v>
      </c>
    </row>
    <row r="242" customFormat="false" ht="15" hidden="false" customHeight="false" outlineLevel="0" collapsed="false">
      <c r="A242" s="3" t="n">
        <v>45813</v>
      </c>
      <c r="B242" s="4" t="s">
        <v>11</v>
      </c>
      <c r="C242" s="4" t="s">
        <v>14</v>
      </c>
      <c r="D242" s="4" t="s">
        <v>9</v>
      </c>
      <c r="E242" s="5" t="n">
        <v>9418.04</v>
      </c>
      <c r="F242" s="4" t="str">
        <f aca="false">TEXT(A242,"mmm-yyyy")</f>
        <v>Jun-2025</v>
      </c>
    </row>
    <row r="243" customFormat="false" ht="15" hidden="false" customHeight="false" outlineLevel="0" collapsed="false">
      <c r="A243" s="3" t="n">
        <v>45814</v>
      </c>
      <c r="B243" s="4" t="s">
        <v>11</v>
      </c>
      <c r="C243" s="4" t="s">
        <v>14</v>
      </c>
      <c r="D243" s="4" t="s">
        <v>15</v>
      </c>
      <c r="E243" s="5" t="n">
        <v>6462.51</v>
      </c>
      <c r="F243" s="4" t="str">
        <f aca="false">TEXT(A243,"mmm-yyyy")</f>
        <v>Jun-2025</v>
      </c>
    </row>
    <row r="244" customFormat="false" ht="15" hidden="false" customHeight="false" outlineLevel="0" collapsed="false">
      <c r="A244" s="3" t="n">
        <v>45814</v>
      </c>
      <c r="B244" s="4" t="s">
        <v>19</v>
      </c>
      <c r="C244" s="4" t="s">
        <v>12</v>
      </c>
      <c r="D244" s="4" t="s">
        <v>9</v>
      </c>
      <c r="E244" s="5" t="n">
        <v>-4571.05</v>
      </c>
      <c r="F244" s="4" t="str">
        <f aca="false">TEXT(A244,"mmm-yyyy")</f>
        <v>Jun-2025</v>
      </c>
    </row>
    <row r="245" customFormat="false" ht="15" hidden="false" customHeight="false" outlineLevel="0" collapsed="false">
      <c r="A245" s="3" t="n">
        <v>45818</v>
      </c>
      <c r="B245" s="4" t="s">
        <v>19</v>
      </c>
      <c r="C245" s="4" t="s">
        <v>8</v>
      </c>
      <c r="D245" s="4" t="s">
        <v>15</v>
      </c>
      <c r="E245" s="5" t="n">
        <v>-2402.57</v>
      </c>
      <c r="F245" s="4" t="str">
        <f aca="false">TEXT(A245,"mmm-yyyy")</f>
        <v>Jun-2025</v>
      </c>
    </row>
    <row r="246" customFormat="false" ht="15" hidden="false" customHeight="false" outlineLevel="0" collapsed="false">
      <c r="A246" s="3" t="n">
        <v>45819</v>
      </c>
      <c r="B246" s="4" t="s">
        <v>7</v>
      </c>
      <c r="C246" s="4" t="s">
        <v>18</v>
      </c>
      <c r="D246" s="4" t="s">
        <v>9</v>
      </c>
      <c r="E246" s="5" t="n">
        <v>4995.08</v>
      </c>
      <c r="F246" s="4" t="str">
        <f aca="false">TEXT(A246,"mmm-yyyy")</f>
        <v>Jun-2025</v>
      </c>
    </row>
    <row r="247" customFormat="false" ht="15" hidden="false" customHeight="false" outlineLevel="0" collapsed="false">
      <c r="A247" s="3" t="n">
        <v>45819</v>
      </c>
      <c r="B247" s="4" t="s">
        <v>23</v>
      </c>
      <c r="C247" s="4" t="s">
        <v>12</v>
      </c>
      <c r="D247" s="4" t="s">
        <v>9</v>
      </c>
      <c r="E247" s="5" t="n">
        <v>-2240.58</v>
      </c>
      <c r="F247" s="4" t="str">
        <f aca="false">TEXT(A247,"mmm-yyyy")</f>
        <v>Jun-2025</v>
      </c>
    </row>
    <row r="248" customFormat="false" ht="15" hidden="false" customHeight="false" outlineLevel="0" collapsed="false">
      <c r="A248" s="3" t="n">
        <v>45819</v>
      </c>
      <c r="B248" s="4" t="s">
        <v>24</v>
      </c>
      <c r="C248" s="4" t="s">
        <v>18</v>
      </c>
      <c r="D248" s="4" t="s">
        <v>9</v>
      </c>
      <c r="E248" s="5" t="n">
        <v>-3711.69</v>
      </c>
      <c r="F248" s="4" t="str">
        <f aca="false">TEXT(A248,"mmm-yyyy")</f>
        <v>Jun-2025</v>
      </c>
    </row>
    <row r="249" customFormat="false" ht="15" hidden="false" customHeight="false" outlineLevel="0" collapsed="false">
      <c r="A249" s="3" t="n">
        <v>45819</v>
      </c>
      <c r="B249" s="4" t="s">
        <v>7</v>
      </c>
      <c r="C249" s="4" t="s">
        <v>14</v>
      </c>
      <c r="D249" s="4" t="s">
        <v>15</v>
      </c>
      <c r="E249" s="5" t="n">
        <v>6052.57</v>
      </c>
      <c r="F249" s="4" t="str">
        <f aca="false">TEXT(A249,"mmm-yyyy")</f>
        <v>Jun-2025</v>
      </c>
    </row>
    <row r="250" customFormat="false" ht="15" hidden="false" customHeight="false" outlineLevel="0" collapsed="false">
      <c r="A250" s="3" t="n">
        <v>45821</v>
      </c>
      <c r="B250" s="4" t="s">
        <v>7</v>
      </c>
      <c r="C250" s="4" t="s">
        <v>8</v>
      </c>
      <c r="D250" s="4" t="s">
        <v>15</v>
      </c>
      <c r="E250" s="5" t="n">
        <v>6342.68</v>
      </c>
      <c r="F250" s="4" t="str">
        <f aca="false">TEXT(A250,"mmm-yyyy")</f>
        <v>Jun-2025</v>
      </c>
    </row>
    <row r="251" customFormat="false" ht="15" hidden="false" customHeight="false" outlineLevel="0" collapsed="false">
      <c r="A251" s="3" t="n">
        <v>45822</v>
      </c>
      <c r="B251" s="4" t="s">
        <v>19</v>
      </c>
      <c r="C251" s="4" t="s">
        <v>12</v>
      </c>
      <c r="D251" s="4" t="s">
        <v>9</v>
      </c>
      <c r="E251" s="5" t="n">
        <v>-3531.9</v>
      </c>
      <c r="F251" s="4" t="str">
        <f aca="false">TEXT(A251,"mmm-yyyy")</f>
        <v>Jun-2025</v>
      </c>
    </row>
    <row r="252" customFormat="false" ht="15" hidden="false" customHeight="false" outlineLevel="0" collapsed="false">
      <c r="A252" s="3" t="n">
        <v>45822</v>
      </c>
      <c r="B252" s="4" t="s">
        <v>7</v>
      </c>
      <c r="C252" s="4" t="s">
        <v>18</v>
      </c>
      <c r="D252" s="4" t="s">
        <v>15</v>
      </c>
      <c r="E252" s="5" t="n">
        <v>3847.4</v>
      </c>
      <c r="F252" s="4" t="str">
        <f aca="false">TEXT(A252,"mmm-yyyy")</f>
        <v>Jun-2025</v>
      </c>
    </row>
    <row r="253" customFormat="false" ht="15" hidden="false" customHeight="false" outlineLevel="0" collapsed="false">
      <c r="A253" s="3" t="n">
        <v>45823</v>
      </c>
      <c r="B253" s="4" t="s">
        <v>7</v>
      </c>
      <c r="C253" s="4" t="s">
        <v>12</v>
      </c>
      <c r="D253" s="4" t="s">
        <v>13</v>
      </c>
      <c r="E253" s="5" t="n">
        <v>8767.93</v>
      </c>
      <c r="F253" s="4" t="str">
        <f aca="false">TEXT(A253,"mmm-yyyy")</f>
        <v>Jun-2025</v>
      </c>
    </row>
    <row r="254" customFormat="false" ht="15" hidden="false" customHeight="false" outlineLevel="0" collapsed="false">
      <c r="A254" s="3" t="n">
        <v>45824</v>
      </c>
      <c r="B254" s="4" t="s">
        <v>11</v>
      </c>
      <c r="C254" s="4" t="s">
        <v>18</v>
      </c>
      <c r="D254" s="4" t="s">
        <v>9</v>
      </c>
      <c r="E254" s="5" t="n">
        <v>9607.24</v>
      </c>
      <c r="F254" s="4" t="str">
        <f aca="false">TEXT(A254,"mmm-yyyy")</f>
        <v>Jun-2025</v>
      </c>
    </row>
    <row r="255" customFormat="false" ht="15" hidden="false" customHeight="false" outlineLevel="0" collapsed="false">
      <c r="A255" s="3" t="n">
        <v>45824</v>
      </c>
      <c r="B255" s="4" t="s">
        <v>11</v>
      </c>
      <c r="C255" s="4" t="s">
        <v>8</v>
      </c>
      <c r="D255" s="4" t="s">
        <v>13</v>
      </c>
      <c r="E255" s="5" t="n">
        <v>9721.79</v>
      </c>
      <c r="F255" s="4" t="str">
        <f aca="false">TEXT(A255,"mmm-yyyy")</f>
        <v>Jun-2025</v>
      </c>
    </row>
    <row r="256" customFormat="false" ht="15" hidden="false" customHeight="false" outlineLevel="0" collapsed="false">
      <c r="A256" s="3" t="n">
        <v>45824</v>
      </c>
      <c r="B256" s="4" t="s">
        <v>11</v>
      </c>
      <c r="C256" s="4" t="s">
        <v>18</v>
      </c>
      <c r="D256" s="4" t="s">
        <v>9</v>
      </c>
      <c r="E256" s="5" t="n">
        <v>7692</v>
      </c>
      <c r="F256" s="4" t="str">
        <f aca="false">TEXT(A256,"mmm-yyyy")</f>
        <v>Jun-2025</v>
      </c>
    </row>
    <row r="257" customFormat="false" ht="15" hidden="false" customHeight="false" outlineLevel="0" collapsed="false">
      <c r="A257" s="3" t="n">
        <v>45826</v>
      </c>
      <c r="B257" s="4" t="s">
        <v>19</v>
      </c>
      <c r="C257" s="4" t="s">
        <v>12</v>
      </c>
      <c r="D257" s="4" t="s">
        <v>13</v>
      </c>
      <c r="E257" s="5" t="n">
        <v>-870.08</v>
      </c>
      <c r="F257" s="4" t="str">
        <f aca="false">TEXT(A257,"mmm-yyyy")</f>
        <v>Jun-2025</v>
      </c>
    </row>
    <row r="258" customFormat="false" ht="15" hidden="false" customHeight="false" outlineLevel="0" collapsed="false">
      <c r="A258" s="3" t="n">
        <v>45826</v>
      </c>
      <c r="B258" s="4" t="s">
        <v>19</v>
      </c>
      <c r="C258" s="4" t="s">
        <v>18</v>
      </c>
      <c r="D258" s="4" t="s">
        <v>15</v>
      </c>
      <c r="E258" s="5" t="n">
        <v>-3256.67</v>
      </c>
      <c r="F258" s="4" t="str">
        <f aca="false">TEXT(A258,"mmm-yyyy")</f>
        <v>Jun-2025</v>
      </c>
    </row>
    <row r="259" customFormat="false" ht="15" hidden="false" customHeight="false" outlineLevel="0" collapsed="false">
      <c r="A259" s="3" t="n">
        <v>45827</v>
      </c>
      <c r="B259" s="4" t="s">
        <v>23</v>
      </c>
      <c r="C259" s="4" t="s">
        <v>14</v>
      </c>
      <c r="D259" s="4" t="s">
        <v>9</v>
      </c>
      <c r="E259" s="5" t="n">
        <v>2287.06</v>
      </c>
      <c r="F259" s="4" t="str">
        <f aca="false">TEXT(A259,"mmm-yyyy")</f>
        <v>Jun-2025</v>
      </c>
    </row>
    <row r="260" customFormat="false" ht="15" hidden="false" customHeight="false" outlineLevel="0" collapsed="false">
      <c r="A260" s="3" t="n">
        <v>45827</v>
      </c>
      <c r="B260" s="4" t="s">
        <v>7</v>
      </c>
      <c r="C260" s="4" t="s">
        <v>18</v>
      </c>
      <c r="D260" s="4" t="s">
        <v>9</v>
      </c>
      <c r="E260" s="5" t="n">
        <v>7830.45</v>
      </c>
      <c r="F260" s="4" t="str">
        <f aca="false">TEXT(A260,"mmm-yyyy")</f>
        <v>Jun-2025</v>
      </c>
    </row>
    <row r="261" customFormat="false" ht="15" hidden="false" customHeight="false" outlineLevel="0" collapsed="false">
      <c r="A261" s="3" t="n">
        <v>45827</v>
      </c>
      <c r="B261" s="4" t="s">
        <v>7</v>
      </c>
      <c r="C261" s="4" t="s">
        <v>8</v>
      </c>
      <c r="D261" s="4" t="s">
        <v>9</v>
      </c>
      <c r="E261" s="5" t="n">
        <v>6522.98</v>
      </c>
      <c r="F261" s="4" t="str">
        <f aca="false">TEXT(A261,"mmm-yyyy")</f>
        <v>Jun-2025</v>
      </c>
    </row>
    <row r="262" customFormat="false" ht="15" hidden="false" customHeight="false" outlineLevel="0" collapsed="false">
      <c r="A262" s="3" t="n">
        <v>45828</v>
      </c>
      <c r="B262" s="4" t="s">
        <v>20</v>
      </c>
      <c r="C262" s="4" t="s">
        <v>12</v>
      </c>
      <c r="D262" s="4" t="s">
        <v>15</v>
      </c>
      <c r="E262" s="5" t="n">
        <v>1012.06</v>
      </c>
      <c r="F262" s="4" t="str">
        <f aca="false">TEXT(A262,"mmm-yyyy")</f>
        <v>Jun-2025</v>
      </c>
    </row>
    <row r="263" customFormat="false" ht="15" hidden="false" customHeight="false" outlineLevel="0" collapsed="false">
      <c r="A263" s="3" t="n">
        <v>45828</v>
      </c>
      <c r="B263" s="4" t="s">
        <v>19</v>
      </c>
      <c r="C263" s="4" t="s">
        <v>8</v>
      </c>
      <c r="D263" s="4" t="s">
        <v>15</v>
      </c>
      <c r="E263" s="5" t="n">
        <v>-940.02</v>
      </c>
      <c r="F263" s="4" t="str">
        <f aca="false">TEXT(A263,"mmm-yyyy")</f>
        <v>Jun-2025</v>
      </c>
    </row>
    <row r="264" customFormat="false" ht="15" hidden="false" customHeight="false" outlineLevel="0" collapsed="false">
      <c r="A264" s="3" t="n">
        <v>45829</v>
      </c>
      <c r="B264" s="4" t="s">
        <v>19</v>
      </c>
      <c r="C264" s="4" t="s">
        <v>12</v>
      </c>
      <c r="D264" s="4" t="s">
        <v>9</v>
      </c>
      <c r="E264" s="5" t="n">
        <v>-5123.52</v>
      </c>
      <c r="F264" s="4" t="str">
        <f aca="false">TEXT(A264,"mmm-yyyy")</f>
        <v>Jun-2025</v>
      </c>
    </row>
    <row r="265" customFormat="false" ht="15" hidden="false" customHeight="false" outlineLevel="0" collapsed="false">
      <c r="A265" s="3" t="n">
        <v>45830</v>
      </c>
      <c r="B265" s="4" t="s">
        <v>16</v>
      </c>
      <c r="C265" s="4" t="s">
        <v>12</v>
      </c>
      <c r="D265" s="4" t="s">
        <v>9</v>
      </c>
      <c r="E265" s="5" t="n">
        <v>-4882.47</v>
      </c>
      <c r="F265" s="4" t="str">
        <f aca="false">TEXT(A265,"mmm-yyyy")</f>
        <v>Jun-2025</v>
      </c>
    </row>
    <row r="266" customFormat="false" ht="15" hidden="false" customHeight="false" outlineLevel="0" collapsed="false">
      <c r="A266" s="3" t="n">
        <v>45831</v>
      </c>
      <c r="B266" s="4" t="s">
        <v>24</v>
      </c>
      <c r="C266" s="4" t="s">
        <v>18</v>
      </c>
      <c r="D266" s="4" t="s">
        <v>9</v>
      </c>
      <c r="E266" s="5" t="n">
        <v>-1361.05</v>
      </c>
      <c r="F266" s="4" t="str">
        <f aca="false">TEXT(A266,"mmm-yyyy")</f>
        <v>Jun-2025</v>
      </c>
    </row>
    <row r="267" customFormat="false" ht="15" hidden="false" customHeight="false" outlineLevel="0" collapsed="false">
      <c r="A267" s="3" t="n">
        <v>45831</v>
      </c>
      <c r="B267" s="4" t="s">
        <v>7</v>
      </c>
      <c r="C267" s="4" t="s">
        <v>18</v>
      </c>
      <c r="D267" s="4" t="s">
        <v>13</v>
      </c>
      <c r="E267" s="5" t="n">
        <v>10305.66</v>
      </c>
      <c r="F267" s="4" t="str">
        <f aca="false">TEXT(A267,"mmm-yyyy")</f>
        <v>Jun-2025</v>
      </c>
    </row>
    <row r="268" customFormat="false" ht="15" hidden="false" customHeight="false" outlineLevel="0" collapsed="false">
      <c r="A268" s="3" t="n">
        <v>45831</v>
      </c>
      <c r="B268" s="4" t="s">
        <v>7</v>
      </c>
      <c r="C268" s="4" t="s">
        <v>18</v>
      </c>
      <c r="D268" s="4" t="s">
        <v>13</v>
      </c>
      <c r="E268" s="5" t="n">
        <v>3662.22</v>
      </c>
      <c r="F268" s="4" t="str">
        <f aca="false">TEXT(A268,"mmm-yyyy")</f>
        <v>Jun-2025</v>
      </c>
    </row>
    <row r="269" customFormat="false" ht="15" hidden="false" customHeight="false" outlineLevel="0" collapsed="false">
      <c r="A269" s="3" t="n">
        <v>45832</v>
      </c>
      <c r="B269" s="4" t="s">
        <v>17</v>
      </c>
      <c r="C269" s="4" t="s">
        <v>12</v>
      </c>
      <c r="D269" s="4" t="s">
        <v>9</v>
      </c>
      <c r="E269" s="5" t="n">
        <v>-2578.34</v>
      </c>
      <c r="F269" s="4" t="str">
        <f aca="false">TEXT(A269,"mmm-yyyy")</f>
        <v>Jun-2025</v>
      </c>
    </row>
    <row r="270" customFormat="false" ht="15" hidden="false" customHeight="false" outlineLevel="0" collapsed="false">
      <c r="A270" s="3" t="n">
        <v>45832</v>
      </c>
      <c r="B270" s="4" t="s">
        <v>11</v>
      </c>
      <c r="C270" s="4" t="s">
        <v>14</v>
      </c>
      <c r="D270" s="4" t="s">
        <v>9</v>
      </c>
      <c r="E270" s="5" t="n">
        <v>8567.47</v>
      </c>
      <c r="F270" s="4" t="str">
        <f aca="false">TEXT(A270,"mmm-yyyy")</f>
        <v>Jun-2025</v>
      </c>
    </row>
    <row r="271" customFormat="false" ht="15" hidden="false" customHeight="false" outlineLevel="0" collapsed="false">
      <c r="A271" s="3" t="n">
        <v>45833</v>
      </c>
      <c r="B271" s="4" t="s">
        <v>7</v>
      </c>
      <c r="C271" s="4" t="s">
        <v>8</v>
      </c>
      <c r="D271" s="4" t="s">
        <v>9</v>
      </c>
      <c r="E271" s="5" t="n">
        <v>8783.76</v>
      </c>
      <c r="F271" s="4" t="str">
        <f aca="false">TEXT(A271,"mmm-yyyy")</f>
        <v>Jun-2025</v>
      </c>
    </row>
    <row r="272" customFormat="false" ht="15" hidden="false" customHeight="false" outlineLevel="0" collapsed="false">
      <c r="A272" s="3" t="n">
        <v>45834</v>
      </c>
      <c r="B272" s="4" t="s">
        <v>20</v>
      </c>
      <c r="C272" s="4" t="s">
        <v>18</v>
      </c>
      <c r="D272" s="4" t="s">
        <v>9</v>
      </c>
      <c r="E272" s="5" t="n">
        <v>-2127.71</v>
      </c>
      <c r="F272" s="4" t="str">
        <f aca="false">TEXT(A272,"mmm-yyyy")</f>
        <v>Jun-2025</v>
      </c>
    </row>
    <row r="273" customFormat="false" ht="15" hidden="false" customHeight="false" outlineLevel="0" collapsed="false">
      <c r="A273" s="3" t="n">
        <v>45834</v>
      </c>
      <c r="B273" s="4" t="s">
        <v>21</v>
      </c>
      <c r="C273" s="4" t="s">
        <v>8</v>
      </c>
      <c r="D273" s="4" t="s">
        <v>9</v>
      </c>
      <c r="E273" s="5" t="n">
        <v>-1852.09</v>
      </c>
      <c r="F273" s="4" t="str">
        <f aca="false">TEXT(A273,"mmm-yyyy")</f>
        <v>Jun-2025</v>
      </c>
    </row>
    <row r="274" customFormat="false" ht="15" hidden="false" customHeight="false" outlineLevel="0" collapsed="false">
      <c r="A274" s="3" t="n">
        <v>45835</v>
      </c>
      <c r="B274" s="4" t="s">
        <v>7</v>
      </c>
      <c r="C274" s="4" t="s">
        <v>8</v>
      </c>
      <c r="D274" s="4" t="s">
        <v>9</v>
      </c>
      <c r="E274" s="5" t="n">
        <v>8477.32</v>
      </c>
      <c r="F274" s="4" t="str">
        <f aca="false">TEXT(A274,"mmm-yyyy")</f>
        <v>Jun-2025</v>
      </c>
    </row>
    <row r="275" customFormat="false" ht="15" hidden="false" customHeight="false" outlineLevel="0" collapsed="false">
      <c r="A275" s="3" t="n">
        <v>45835</v>
      </c>
      <c r="B275" s="4" t="s">
        <v>7</v>
      </c>
      <c r="C275" s="4" t="s">
        <v>8</v>
      </c>
      <c r="D275" s="4" t="s">
        <v>15</v>
      </c>
      <c r="E275" s="5" t="n">
        <v>10186.24</v>
      </c>
      <c r="F275" s="4" t="str">
        <f aca="false">TEXT(A275,"mmm-yyyy")</f>
        <v>Jun-2025</v>
      </c>
    </row>
    <row r="276" customFormat="false" ht="15" hidden="false" customHeight="false" outlineLevel="0" collapsed="false">
      <c r="A276" s="3" t="n">
        <v>45836</v>
      </c>
      <c r="B276" s="4" t="s">
        <v>21</v>
      </c>
      <c r="C276" s="4" t="s">
        <v>8</v>
      </c>
      <c r="D276" s="4" t="s">
        <v>9</v>
      </c>
      <c r="E276" s="5" t="n">
        <v>1674.81</v>
      </c>
      <c r="F276" s="4" t="str">
        <f aca="false">TEXT(A276,"mmm-yyyy")</f>
        <v>Jun-2025</v>
      </c>
    </row>
    <row r="277" customFormat="false" ht="15" hidden="false" customHeight="false" outlineLevel="0" collapsed="false">
      <c r="A277" s="3" t="n">
        <v>45838</v>
      </c>
      <c r="B277" s="4" t="s">
        <v>11</v>
      </c>
      <c r="C277" s="4" t="s">
        <v>8</v>
      </c>
      <c r="D277" s="4" t="s">
        <v>15</v>
      </c>
      <c r="E277" s="5" t="n">
        <v>11543.72</v>
      </c>
      <c r="F277" s="4" t="str">
        <f aca="false">TEXT(A277,"mmm-yyyy")</f>
        <v>Jun-2025</v>
      </c>
    </row>
    <row r="278" customFormat="false" ht="15" hidden="false" customHeight="false" outlineLevel="0" collapsed="false">
      <c r="A278" s="3" t="n">
        <v>45838</v>
      </c>
      <c r="B278" s="4" t="s">
        <v>19</v>
      </c>
      <c r="C278" s="4" t="s">
        <v>8</v>
      </c>
      <c r="D278" s="4" t="s">
        <v>9</v>
      </c>
      <c r="E278" s="5" t="n">
        <v>-2938.7</v>
      </c>
      <c r="F278" s="4" t="str">
        <f aca="false">TEXT(A278,"mmm-yyyy")</f>
        <v>Jun-2025</v>
      </c>
    </row>
    <row r="279" customFormat="false" ht="15" hidden="false" customHeight="false" outlineLevel="0" collapsed="false">
      <c r="A279" s="3" t="n">
        <v>45838</v>
      </c>
      <c r="B279" s="4" t="s">
        <v>7</v>
      </c>
      <c r="C279" s="4" t="s">
        <v>8</v>
      </c>
      <c r="D279" s="4" t="s">
        <v>9</v>
      </c>
      <c r="E279" s="5" t="n">
        <v>10055.15</v>
      </c>
      <c r="F279" s="4" t="str">
        <f aca="false">TEXT(A279,"mmm-yyyy")</f>
        <v>Jun-2025</v>
      </c>
    </row>
    <row r="280" customFormat="false" ht="15" hidden="false" customHeight="false" outlineLevel="0" collapsed="false">
      <c r="A280" s="3" t="n">
        <v>45839</v>
      </c>
      <c r="B280" s="4" t="s">
        <v>20</v>
      </c>
      <c r="C280" s="4" t="s">
        <v>12</v>
      </c>
      <c r="D280" s="4" t="s">
        <v>15</v>
      </c>
      <c r="E280" s="5" t="n">
        <v>-5465.59</v>
      </c>
      <c r="F280" s="4" t="str">
        <f aca="false">TEXT(A280,"mmm-yyyy")</f>
        <v>Jul-2025</v>
      </c>
    </row>
    <row r="281" customFormat="false" ht="15" hidden="false" customHeight="false" outlineLevel="0" collapsed="false">
      <c r="A281" s="3" t="n">
        <v>45841</v>
      </c>
      <c r="B281" s="4" t="s">
        <v>11</v>
      </c>
      <c r="C281" s="4" t="s">
        <v>12</v>
      </c>
      <c r="D281" s="4" t="s">
        <v>15</v>
      </c>
      <c r="E281" s="5" t="n">
        <v>10545.26</v>
      </c>
      <c r="F281" s="4" t="str">
        <f aca="false">TEXT(A281,"mmm-yyyy")</f>
        <v>Jul-2025</v>
      </c>
    </row>
    <row r="282" customFormat="false" ht="15" hidden="false" customHeight="false" outlineLevel="0" collapsed="false">
      <c r="A282" s="3" t="n">
        <v>45841</v>
      </c>
      <c r="B282" s="4" t="s">
        <v>21</v>
      </c>
      <c r="C282" s="4" t="s">
        <v>18</v>
      </c>
      <c r="D282" s="4" t="s">
        <v>10</v>
      </c>
      <c r="E282" s="5" t="n">
        <v>-1547.94</v>
      </c>
      <c r="F282" s="4" t="str">
        <f aca="false">TEXT(A282,"mmm-yyyy")</f>
        <v>Jul-2025</v>
      </c>
    </row>
    <row r="283" customFormat="false" ht="15" hidden="false" customHeight="false" outlineLevel="0" collapsed="false">
      <c r="A283" s="3" t="n">
        <v>45841</v>
      </c>
      <c r="B283" s="4" t="s">
        <v>11</v>
      </c>
      <c r="C283" s="4" t="s">
        <v>14</v>
      </c>
      <c r="D283" s="4" t="s">
        <v>13</v>
      </c>
      <c r="E283" s="5" t="n">
        <v>13181.72</v>
      </c>
      <c r="F283" s="4" t="str">
        <f aca="false">TEXT(A283,"mmm-yyyy")</f>
        <v>Jul-2025</v>
      </c>
    </row>
    <row r="284" customFormat="false" ht="15" hidden="false" customHeight="false" outlineLevel="0" collapsed="false">
      <c r="A284" s="3" t="n">
        <v>45841</v>
      </c>
      <c r="B284" s="4" t="s">
        <v>21</v>
      </c>
      <c r="C284" s="4" t="s">
        <v>18</v>
      </c>
      <c r="D284" s="4" t="s">
        <v>15</v>
      </c>
      <c r="E284" s="5" t="n">
        <v>-6143.16</v>
      </c>
      <c r="F284" s="4" t="str">
        <f aca="false">TEXT(A284,"mmm-yyyy")</f>
        <v>Jul-2025</v>
      </c>
    </row>
    <row r="285" customFormat="false" ht="15" hidden="false" customHeight="false" outlineLevel="0" collapsed="false">
      <c r="A285" s="3" t="n">
        <v>45843</v>
      </c>
      <c r="B285" s="4" t="s">
        <v>19</v>
      </c>
      <c r="C285" s="4" t="s">
        <v>12</v>
      </c>
      <c r="D285" s="4" t="s">
        <v>15</v>
      </c>
      <c r="E285" s="5" t="n">
        <v>-2405.68</v>
      </c>
      <c r="F285" s="4" t="str">
        <f aca="false">TEXT(A285,"mmm-yyyy")</f>
        <v>Jul-2025</v>
      </c>
    </row>
    <row r="286" customFormat="false" ht="15" hidden="false" customHeight="false" outlineLevel="0" collapsed="false">
      <c r="A286" s="3" t="n">
        <v>45843</v>
      </c>
      <c r="B286" s="4" t="s">
        <v>11</v>
      </c>
      <c r="C286" s="4" t="s">
        <v>8</v>
      </c>
      <c r="D286" s="4" t="s">
        <v>15</v>
      </c>
      <c r="E286" s="5" t="n">
        <v>2601.04</v>
      </c>
      <c r="F286" s="4" t="str">
        <f aca="false">TEXT(A286,"mmm-yyyy")</f>
        <v>Jul-2025</v>
      </c>
    </row>
    <row r="287" customFormat="false" ht="15" hidden="false" customHeight="false" outlineLevel="0" collapsed="false">
      <c r="A287" s="3" t="n">
        <v>45844</v>
      </c>
      <c r="B287" s="4" t="s">
        <v>19</v>
      </c>
      <c r="C287" s="4" t="s">
        <v>12</v>
      </c>
      <c r="D287" s="4" t="s">
        <v>9</v>
      </c>
      <c r="E287" s="5" t="n">
        <v>-4354.98</v>
      </c>
      <c r="F287" s="4" t="str">
        <f aca="false">TEXT(A287,"mmm-yyyy")</f>
        <v>Jul-2025</v>
      </c>
    </row>
    <row r="288" customFormat="false" ht="15" hidden="false" customHeight="false" outlineLevel="0" collapsed="false">
      <c r="A288" s="3" t="n">
        <v>45845</v>
      </c>
      <c r="B288" s="4" t="s">
        <v>11</v>
      </c>
      <c r="C288" s="4" t="s">
        <v>12</v>
      </c>
      <c r="D288" s="4" t="s">
        <v>9</v>
      </c>
      <c r="E288" s="5" t="n">
        <v>2443.49</v>
      </c>
      <c r="F288" s="4" t="str">
        <f aca="false">TEXT(A288,"mmm-yyyy")</f>
        <v>Jul-2025</v>
      </c>
    </row>
    <row r="289" customFormat="false" ht="15" hidden="false" customHeight="false" outlineLevel="0" collapsed="false">
      <c r="A289" s="3" t="n">
        <v>45845</v>
      </c>
      <c r="B289" s="4" t="s">
        <v>16</v>
      </c>
      <c r="C289" s="4" t="s">
        <v>8</v>
      </c>
      <c r="D289" s="4" t="s">
        <v>15</v>
      </c>
      <c r="E289" s="5" t="n">
        <v>-4014.2</v>
      </c>
      <c r="F289" s="4" t="str">
        <f aca="false">TEXT(A289,"mmm-yyyy")</f>
        <v>Jul-2025</v>
      </c>
    </row>
    <row r="290" customFormat="false" ht="15" hidden="false" customHeight="false" outlineLevel="0" collapsed="false">
      <c r="A290" s="3" t="n">
        <v>45846</v>
      </c>
      <c r="B290" s="4" t="s">
        <v>11</v>
      </c>
      <c r="C290" s="4" t="s">
        <v>18</v>
      </c>
      <c r="D290" s="4" t="s">
        <v>15</v>
      </c>
      <c r="E290" s="5" t="n">
        <v>10609.21</v>
      </c>
      <c r="F290" s="4" t="str">
        <f aca="false">TEXT(A290,"mmm-yyyy")</f>
        <v>Jul-2025</v>
      </c>
    </row>
    <row r="291" customFormat="false" ht="15" hidden="false" customHeight="false" outlineLevel="0" collapsed="false">
      <c r="A291" s="3" t="n">
        <v>45846</v>
      </c>
      <c r="B291" s="4" t="s">
        <v>11</v>
      </c>
      <c r="C291" s="4" t="s">
        <v>12</v>
      </c>
      <c r="D291" s="4" t="s">
        <v>15</v>
      </c>
      <c r="E291" s="5" t="n">
        <v>9887.71</v>
      </c>
      <c r="F291" s="4" t="str">
        <f aca="false">TEXT(A291,"mmm-yyyy")</f>
        <v>Jul-2025</v>
      </c>
    </row>
    <row r="292" customFormat="false" ht="15" hidden="false" customHeight="false" outlineLevel="0" collapsed="false">
      <c r="A292" s="3" t="n">
        <v>45846</v>
      </c>
      <c r="B292" s="4" t="s">
        <v>7</v>
      </c>
      <c r="C292" s="4" t="s">
        <v>18</v>
      </c>
      <c r="D292" s="4" t="s">
        <v>10</v>
      </c>
      <c r="E292" s="5" t="n">
        <v>15022.73</v>
      </c>
      <c r="F292" s="4" t="str">
        <f aca="false">TEXT(A292,"mmm-yyyy")</f>
        <v>Jul-2025</v>
      </c>
    </row>
    <row r="293" customFormat="false" ht="15" hidden="false" customHeight="false" outlineLevel="0" collapsed="false">
      <c r="A293" s="3" t="n">
        <v>45847</v>
      </c>
      <c r="B293" s="4" t="s">
        <v>17</v>
      </c>
      <c r="C293" s="4" t="s">
        <v>12</v>
      </c>
      <c r="D293" s="4" t="s">
        <v>13</v>
      </c>
      <c r="E293" s="5" t="n">
        <v>-5105.2</v>
      </c>
      <c r="F293" s="4" t="str">
        <f aca="false">TEXT(A293,"mmm-yyyy")</f>
        <v>Jul-2025</v>
      </c>
    </row>
    <row r="294" customFormat="false" ht="15" hidden="false" customHeight="false" outlineLevel="0" collapsed="false">
      <c r="A294" s="3" t="n">
        <v>45847</v>
      </c>
      <c r="B294" s="4" t="s">
        <v>7</v>
      </c>
      <c r="C294" s="4" t="s">
        <v>8</v>
      </c>
      <c r="D294" s="4" t="s">
        <v>9</v>
      </c>
      <c r="E294" s="5" t="n">
        <v>5424.72</v>
      </c>
      <c r="F294" s="4" t="str">
        <f aca="false">TEXT(A294,"mmm-yyyy")</f>
        <v>Jul-2025</v>
      </c>
    </row>
    <row r="295" customFormat="false" ht="15" hidden="false" customHeight="false" outlineLevel="0" collapsed="false">
      <c r="A295" s="3" t="n">
        <v>45847</v>
      </c>
      <c r="B295" s="4" t="s">
        <v>11</v>
      </c>
      <c r="C295" s="4" t="s">
        <v>18</v>
      </c>
      <c r="D295" s="4" t="s">
        <v>15</v>
      </c>
      <c r="E295" s="5" t="n">
        <v>9816.97</v>
      </c>
      <c r="F295" s="4" t="str">
        <f aca="false">TEXT(A295,"mmm-yyyy")</f>
        <v>Jul-2025</v>
      </c>
    </row>
    <row r="296" customFormat="false" ht="15" hidden="false" customHeight="false" outlineLevel="0" collapsed="false">
      <c r="A296" s="3" t="n">
        <v>45847</v>
      </c>
      <c r="B296" s="4" t="s">
        <v>7</v>
      </c>
      <c r="C296" s="4" t="s">
        <v>14</v>
      </c>
      <c r="D296" s="4" t="s">
        <v>10</v>
      </c>
      <c r="E296" s="5" t="n">
        <v>2602.93</v>
      </c>
      <c r="F296" s="4" t="str">
        <f aca="false">TEXT(A296,"mmm-yyyy")</f>
        <v>Jul-2025</v>
      </c>
    </row>
    <row r="297" customFormat="false" ht="15" hidden="false" customHeight="false" outlineLevel="0" collapsed="false">
      <c r="A297" s="3" t="n">
        <v>45848</v>
      </c>
      <c r="B297" s="4" t="s">
        <v>11</v>
      </c>
      <c r="C297" s="4" t="s">
        <v>8</v>
      </c>
      <c r="D297" s="4" t="s">
        <v>15</v>
      </c>
      <c r="E297" s="5" t="n">
        <v>5979.54</v>
      </c>
      <c r="F297" s="4" t="str">
        <f aca="false">TEXT(A297,"mmm-yyyy")</f>
        <v>Jul-2025</v>
      </c>
    </row>
    <row r="298" customFormat="false" ht="15" hidden="false" customHeight="false" outlineLevel="0" collapsed="false">
      <c r="A298" s="3" t="n">
        <v>45848</v>
      </c>
      <c r="B298" s="4" t="s">
        <v>11</v>
      </c>
      <c r="C298" s="4" t="s">
        <v>8</v>
      </c>
      <c r="D298" s="4" t="s">
        <v>9</v>
      </c>
      <c r="E298" s="5" t="n">
        <v>4988.63</v>
      </c>
      <c r="F298" s="4" t="str">
        <f aca="false">TEXT(A298,"mmm-yyyy")</f>
        <v>Jul-2025</v>
      </c>
    </row>
    <row r="299" customFormat="false" ht="15" hidden="false" customHeight="false" outlineLevel="0" collapsed="false">
      <c r="A299" s="3" t="n">
        <v>45849</v>
      </c>
      <c r="B299" s="4" t="s">
        <v>19</v>
      </c>
      <c r="C299" s="4" t="s">
        <v>14</v>
      </c>
      <c r="D299" s="4" t="s">
        <v>15</v>
      </c>
      <c r="E299" s="5" t="n">
        <v>-676.61</v>
      </c>
      <c r="F299" s="4" t="str">
        <f aca="false">TEXT(A299,"mmm-yyyy")</f>
        <v>Jul-2025</v>
      </c>
    </row>
    <row r="300" customFormat="false" ht="15" hidden="false" customHeight="false" outlineLevel="0" collapsed="false">
      <c r="A300" s="3" t="n">
        <v>45849</v>
      </c>
      <c r="B300" s="4" t="s">
        <v>11</v>
      </c>
      <c r="C300" s="4" t="s">
        <v>18</v>
      </c>
      <c r="D300" s="4" t="s">
        <v>10</v>
      </c>
      <c r="E300" s="5" t="n">
        <v>8345.61</v>
      </c>
      <c r="F300" s="4" t="str">
        <f aca="false">TEXT(A300,"mmm-yyyy")</f>
        <v>Jul-2025</v>
      </c>
    </row>
    <row r="301" customFormat="false" ht="15" hidden="false" customHeight="false" outlineLevel="0" collapsed="false">
      <c r="A301" s="3" t="n">
        <v>45850</v>
      </c>
      <c r="B301" s="4" t="s">
        <v>11</v>
      </c>
      <c r="C301" s="4" t="s">
        <v>14</v>
      </c>
      <c r="D301" s="4" t="s">
        <v>15</v>
      </c>
      <c r="E301" s="5" t="n">
        <v>7360.71</v>
      </c>
      <c r="F301" s="4" t="str">
        <f aca="false">TEXT(A301,"mmm-yyyy")</f>
        <v>Jul-2025</v>
      </c>
    </row>
    <row r="302" customFormat="false" ht="15" hidden="false" customHeight="false" outlineLevel="0" collapsed="false">
      <c r="A302" s="3" t="n">
        <v>45852</v>
      </c>
      <c r="B302" s="4" t="s">
        <v>19</v>
      </c>
      <c r="C302" s="4" t="s">
        <v>12</v>
      </c>
      <c r="D302" s="4" t="s">
        <v>9</v>
      </c>
      <c r="E302" s="5" t="n">
        <v>-3414.67</v>
      </c>
      <c r="F302" s="4" t="str">
        <f aca="false">TEXT(A302,"mmm-yyyy")</f>
        <v>Jul-2025</v>
      </c>
    </row>
    <row r="303" customFormat="false" ht="15" hidden="false" customHeight="false" outlineLevel="0" collapsed="false">
      <c r="A303" s="3" t="n">
        <v>45854</v>
      </c>
      <c r="B303" s="4" t="s">
        <v>11</v>
      </c>
      <c r="C303" s="4" t="s">
        <v>8</v>
      </c>
      <c r="D303" s="4" t="s">
        <v>9</v>
      </c>
      <c r="E303" s="5" t="n">
        <v>16307.63</v>
      </c>
      <c r="F303" s="4" t="str">
        <f aca="false">TEXT(A303,"mmm-yyyy")</f>
        <v>Jul-2025</v>
      </c>
    </row>
    <row r="304" customFormat="false" ht="15" hidden="false" customHeight="false" outlineLevel="0" collapsed="false">
      <c r="A304" s="3" t="n">
        <v>45854</v>
      </c>
      <c r="B304" s="4" t="s">
        <v>22</v>
      </c>
      <c r="C304" s="4" t="s">
        <v>8</v>
      </c>
      <c r="D304" s="4" t="s">
        <v>15</v>
      </c>
      <c r="E304" s="5" t="n">
        <v>-2073</v>
      </c>
      <c r="F304" s="4" t="str">
        <f aca="false">TEXT(A304,"mmm-yyyy")</f>
        <v>Jul-2025</v>
      </c>
    </row>
    <row r="305" customFormat="false" ht="15" hidden="false" customHeight="false" outlineLevel="0" collapsed="false">
      <c r="A305" s="3" t="n">
        <v>45856</v>
      </c>
      <c r="B305" s="4" t="s">
        <v>16</v>
      </c>
      <c r="C305" s="4" t="s">
        <v>14</v>
      </c>
      <c r="D305" s="4" t="s">
        <v>15</v>
      </c>
      <c r="E305" s="5" t="n">
        <v>-4879.99</v>
      </c>
      <c r="F305" s="4" t="str">
        <f aca="false">TEXT(A305,"mmm-yyyy")</f>
        <v>Jul-2025</v>
      </c>
    </row>
    <row r="306" customFormat="false" ht="15" hidden="false" customHeight="false" outlineLevel="0" collapsed="false">
      <c r="A306" s="3" t="n">
        <v>45856</v>
      </c>
      <c r="B306" s="4" t="s">
        <v>20</v>
      </c>
      <c r="C306" s="4" t="s">
        <v>18</v>
      </c>
      <c r="D306" s="4" t="s">
        <v>9</v>
      </c>
      <c r="E306" s="5" t="n">
        <v>-599.78</v>
      </c>
      <c r="F306" s="4" t="str">
        <f aca="false">TEXT(A306,"mmm-yyyy")</f>
        <v>Jul-2025</v>
      </c>
    </row>
    <row r="307" customFormat="false" ht="15" hidden="false" customHeight="false" outlineLevel="0" collapsed="false">
      <c r="A307" s="3" t="n">
        <v>45858</v>
      </c>
      <c r="B307" s="4" t="s">
        <v>11</v>
      </c>
      <c r="C307" s="4" t="s">
        <v>18</v>
      </c>
      <c r="D307" s="4" t="s">
        <v>15</v>
      </c>
      <c r="E307" s="5" t="n">
        <v>10923.02</v>
      </c>
      <c r="F307" s="4" t="str">
        <f aca="false">TEXT(A307,"mmm-yyyy")</f>
        <v>Jul-2025</v>
      </c>
    </row>
    <row r="308" customFormat="false" ht="15" hidden="false" customHeight="false" outlineLevel="0" collapsed="false">
      <c r="A308" s="3" t="n">
        <v>45858</v>
      </c>
      <c r="B308" s="4" t="s">
        <v>7</v>
      </c>
      <c r="C308" s="4" t="s">
        <v>14</v>
      </c>
      <c r="D308" s="4" t="s">
        <v>13</v>
      </c>
      <c r="E308" s="5" t="n">
        <v>9489.83</v>
      </c>
      <c r="F308" s="4" t="str">
        <f aca="false">TEXT(A308,"mmm-yyyy")</f>
        <v>Jul-2025</v>
      </c>
    </row>
    <row r="309" customFormat="false" ht="15" hidden="false" customHeight="false" outlineLevel="0" collapsed="false">
      <c r="A309" s="3" t="n">
        <v>45859</v>
      </c>
      <c r="B309" s="4" t="s">
        <v>11</v>
      </c>
      <c r="C309" s="4" t="s">
        <v>14</v>
      </c>
      <c r="D309" s="4" t="s">
        <v>15</v>
      </c>
      <c r="E309" s="5" t="n">
        <v>5492.99</v>
      </c>
      <c r="F309" s="4" t="str">
        <f aca="false">TEXT(A309,"mmm-yyyy")</f>
        <v>Jul-2025</v>
      </c>
    </row>
    <row r="310" customFormat="false" ht="15" hidden="false" customHeight="false" outlineLevel="0" collapsed="false">
      <c r="A310" s="3" t="n">
        <v>45860</v>
      </c>
      <c r="B310" s="4" t="s">
        <v>11</v>
      </c>
      <c r="C310" s="4" t="s">
        <v>14</v>
      </c>
      <c r="D310" s="4" t="s">
        <v>9</v>
      </c>
      <c r="E310" s="5" t="n">
        <v>7271.83</v>
      </c>
      <c r="F310" s="4" t="str">
        <f aca="false">TEXT(A310,"mmm-yyyy")</f>
        <v>Jul-2025</v>
      </c>
    </row>
    <row r="311" customFormat="false" ht="15" hidden="false" customHeight="false" outlineLevel="0" collapsed="false">
      <c r="A311" s="3" t="n">
        <v>45860</v>
      </c>
      <c r="B311" s="4" t="s">
        <v>19</v>
      </c>
      <c r="C311" s="4" t="s">
        <v>14</v>
      </c>
      <c r="D311" s="4" t="s">
        <v>15</v>
      </c>
      <c r="E311" s="5" t="n">
        <v>-1323.57</v>
      </c>
      <c r="F311" s="4" t="str">
        <f aca="false">TEXT(A311,"mmm-yyyy")</f>
        <v>Jul-2025</v>
      </c>
    </row>
    <row r="312" customFormat="false" ht="15" hidden="false" customHeight="false" outlineLevel="0" collapsed="false">
      <c r="A312" s="3" t="n">
        <v>45861</v>
      </c>
      <c r="B312" s="4" t="s">
        <v>11</v>
      </c>
      <c r="C312" s="4" t="s">
        <v>18</v>
      </c>
      <c r="D312" s="4" t="s">
        <v>10</v>
      </c>
      <c r="E312" s="5" t="n">
        <v>4482.37</v>
      </c>
      <c r="F312" s="4" t="str">
        <f aca="false">TEXT(A312,"mmm-yyyy")</f>
        <v>Jul-2025</v>
      </c>
    </row>
    <row r="313" customFormat="false" ht="15" hidden="false" customHeight="false" outlineLevel="0" collapsed="false">
      <c r="A313" s="3" t="n">
        <v>45861</v>
      </c>
      <c r="B313" s="4" t="s">
        <v>19</v>
      </c>
      <c r="C313" s="4" t="s">
        <v>18</v>
      </c>
      <c r="D313" s="4" t="s">
        <v>15</v>
      </c>
      <c r="E313" s="5" t="n">
        <v>-4052.54</v>
      </c>
      <c r="F313" s="4" t="str">
        <f aca="false">TEXT(A313,"mmm-yyyy")</f>
        <v>Jul-2025</v>
      </c>
    </row>
    <row r="314" customFormat="false" ht="15" hidden="false" customHeight="false" outlineLevel="0" collapsed="false">
      <c r="A314" s="3" t="n">
        <v>45861</v>
      </c>
      <c r="B314" s="4" t="s">
        <v>24</v>
      </c>
      <c r="C314" s="4" t="s">
        <v>18</v>
      </c>
      <c r="D314" s="4" t="s">
        <v>15</v>
      </c>
      <c r="E314" s="5" t="n">
        <v>-3011.61</v>
      </c>
      <c r="F314" s="4" t="str">
        <f aca="false">TEXT(A314,"mmm-yyyy")</f>
        <v>Jul-2025</v>
      </c>
    </row>
    <row r="315" customFormat="false" ht="15" hidden="false" customHeight="false" outlineLevel="0" collapsed="false">
      <c r="A315" s="3" t="n">
        <v>45862</v>
      </c>
      <c r="B315" s="4" t="s">
        <v>19</v>
      </c>
      <c r="C315" s="4" t="s">
        <v>14</v>
      </c>
      <c r="D315" s="4" t="s">
        <v>9</v>
      </c>
      <c r="E315" s="5" t="n">
        <v>-3558.79</v>
      </c>
      <c r="F315" s="4" t="str">
        <f aca="false">TEXT(A315,"mmm-yyyy")</f>
        <v>Jul-2025</v>
      </c>
    </row>
    <row r="316" customFormat="false" ht="15" hidden="false" customHeight="false" outlineLevel="0" collapsed="false">
      <c r="A316" s="3" t="n">
        <v>45862</v>
      </c>
      <c r="B316" s="4" t="s">
        <v>24</v>
      </c>
      <c r="C316" s="4" t="s">
        <v>12</v>
      </c>
      <c r="D316" s="4" t="s">
        <v>15</v>
      </c>
      <c r="E316" s="5" t="n">
        <v>-3647.23</v>
      </c>
      <c r="F316" s="4" t="str">
        <f aca="false">TEXT(A316,"mmm-yyyy")</f>
        <v>Jul-2025</v>
      </c>
    </row>
    <row r="317" customFormat="false" ht="15" hidden="false" customHeight="false" outlineLevel="0" collapsed="false">
      <c r="A317" s="3" t="n">
        <v>45862</v>
      </c>
      <c r="B317" s="4" t="s">
        <v>24</v>
      </c>
      <c r="C317" s="4" t="s">
        <v>12</v>
      </c>
      <c r="D317" s="4" t="s">
        <v>15</v>
      </c>
      <c r="E317" s="5" t="n">
        <v>-3511.7</v>
      </c>
      <c r="F317" s="4" t="str">
        <f aca="false">TEXT(A317,"mmm-yyyy")</f>
        <v>Jul-2025</v>
      </c>
    </row>
    <row r="318" customFormat="false" ht="15" hidden="false" customHeight="false" outlineLevel="0" collapsed="false">
      <c r="A318" s="3" t="n">
        <v>45863</v>
      </c>
      <c r="B318" s="4" t="s">
        <v>17</v>
      </c>
      <c r="C318" s="4" t="s">
        <v>8</v>
      </c>
      <c r="D318" s="4" t="s">
        <v>9</v>
      </c>
      <c r="E318" s="5" t="n">
        <v>-1494.79</v>
      </c>
      <c r="F318" s="4" t="str">
        <f aca="false">TEXT(A318,"mmm-yyyy")</f>
        <v>Jul-2025</v>
      </c>
    </row>
    <row r="319" customFormat="false" ht="15" hidden="false" customHeight="false" outlineLevel="0" collapsed="false">
      <c r="A319" s="3" t="n">
        <v>45864</v>
      </c>
      <c r="B319" s="4" t="s">
        <v>20</v>
      </c>
      <c r="C319" s="4" t="s">
        <v>14</v>
      </c>
      <c r="D319" s="4" t="s">
        <v>9</v>
      </c>
      <c r="E319" s="5" t="n">
        <v>-2523.51</v>
      </c>
      <c r="F319" s="4" t="str">
        <f aca="false">TEXT(A319,"mmm-yyyy")</f>
        <v>Jul-2025</v>
      </c>
    </row>
    <row r="320" customFormat="false" ht="15" hidden="false" customHeight="false" outlineLevel="0" collapsed="false">
      <c r="A320" s="3" t="n">
        <v>45864</v>
      </c>
      <c r="B320" s="4" t="s">
        <v>7</v>
      </c>
      <c r="C320" s="4" t="s">
        <v>12</v>
      </c>
      <c r="D320" s="4" t="s">
        <v>9</v>
      </c>
      <c r="E320" s="5" t="n">
        <v>2422.59</v>
      </c>
      <c r="F320" s="4" t="str">
        <f aca="false">TEXT(A320,"mmm-yyyy")</f>
        <v>Jul-2025</v>
      </c>
    </row>
    <row r="321" customFormat="false" ht="15" hidden="false" customHeight="false" outlineLevel="0" collapsed="false">
      <c r="A321" s="3" t="n">
        <v>45865</v>
      </c>
      <c r="B321" s="4" t="s">
        <v>24</v>
      </c>
      <c r="C321" s="4" t="s">
        <v>18</v>
      </c>
      <c r="D321" s="4" t="s">
        <v>9</v>
      </c>
      <c r="E321" s="5" t="n">
        <v>-1341.38</v>
      </c>
      <c r="F321" s="4" t="str">
        <f aca="false">TEXT(A321,"mmm-yyyy")</f>
        <v>Jul-2025</v>
      </c>
    </row>
    <row r="322" customFormat="false" ht="15" hidden="false" customHeight="false" outlineLevel="0" collapsed="false">
      <c r="A322" s="3" t="n">
        <v>45865</v>
      </c>
      <c r="B322" s="4" t="s">
        <v>23</v>
      </c>
      <c r="C322" s="4" t="s">
        <v>8</v>
      </c>
      <c r="D322" s="4" t="s">
        <v>15</v>
      </c>
      <c r="E322" s="5" t="n">
        <v>-3791.61</v>
      </c>
      <c r="F322" s="4" t="str">
        <f aca="false">TEXT(A322,"mmm-yyyy")</f>
        <v>Jul-2025</v>
      </c>
    </row>
    <row r="323" customFormat="false" ht="15" hidden="false" customHeight="false" outlineLevel="0" collapsed="false">
      <c r="A323" s="3" t="n">
        <v>45866</v>
      </c>
      <c r="B323" s="4" t="s">
        <v>11</v>
      </c>
      <c r="C323" s="4" t="s">
        <v>8</v>
      </c>
      <c r="D323" s="4" t="s">
        <v>15</v>
      </c>
      <c r="E323" s="5" t="n">
        <v>8321.15</v>
      </c>
      <c r="F323" s="4" t="str">
        <f aca="false">TEXT(A323,"mmm-yyyy")</f>
        <v>Jul-2025</v>
      </c>
    </row>
    <row r="324" customFormat="false" ht="15" hidden="false" customHeight="false" outlineLevel="0" collapsed="false">
      <c r="A324" s="3" t="n">
        <v>45866</v>
      </c>
      <c r="B324" s="4" t="s">
        <v>19</v>
      </c>
      <c r="C324" s="4" t="s">
        <v>12</v>
      </c>
      <c r="D324" s="4" t="s">
        <v>15</v>
      </c>
      <c r="E324" s="5" t="n">
        <v>-1040.95</v>
      </c>
      <c r="F324" s="4" t="str">
        <f aca="false">TEXT(A324,"mmm-yyyy")</f>
        <v>Jul-2025</v>
      </c>
    </row>
    <row r="325" customFormat="false" ht="15" hidden="false" customHeight="false" outlineLevel="0" collapsed="false">
      <c r="A325" s="3" t="n">
        <v>45867</v>
      </c>
      <c r="B325" s="4" t="s">
        <v>11</v>
      </c>
      <c r="C325" s="4" t="s">
        <v>18</v>
      </c>
      <c r="D325" s="4" t="s">
        <v>9</v>
      </c>
      <c r="E325" s="5" t="n">
        <v>12493.72</v>
      </c>
      <c r="F325" s="4" t="str">
        <f aca="false">TEXT(A325,"mmm-yyyy")</f>
        <v>Jul-2025</v>
      </c>
    </row>
    <row r="326" customFormat="false" ht="15" hidden="false" customHeight="false" outlineLevel="0" collapsed="false">
      <c r="A326" s="3" t="n">
        <v>45869</v>
      </c>
      <c r="B326" s="4" t="s">
        <v>7</v>
      </c>
      <c r="C326" s="4" t="s">
        <v>18</v>
      </c>
      <c r="D326" s="4" t="s">
        <v>9</v>
      </c>
      <c r="E326" s="5" t="n">
        <v>2137.46</v>
      </c>
      <c r="F326" s="4" t="str">
        <f aca="false">TEXT(A326,"mmm-yyyy")</f>
        <v>Jul-2025</v>
      </c>
    </row>
    <row r="327" customFormat="false" ht="15" hidden="false" customHeight="false" outlineLevel="0" collapsed="false">
      <c r="A327" s="3" t="n">
        <v>45869</v>
      </c>
      <c r="B327" s="4" t="s">
        <v>11</v>
      </c>
      <c r="C327" s="4" t="s">
        <v>14</v>
      </c>
      <c r="D327" s="4" t="s">
        <v>13</v>
      </c>
      <c r="E327" s="5" t="n">
        <v>6689.62</v>
      </c>
      <c r="F327" s="4" t="str">
        <f aca="false">TEXT(A327,"mmm-yyyy")</f>
        <v>Jul-2025</v>
      </c>
    </row>
    <row r="328" customFormat="false" ht="15" hidden="false" customHeight="false" outlineLevel="0" collapsed="false">
      <c r="A328" s="3" t="n">
        <v>45870</v>
      </c>
      <c r="B328" s="4" t="s">
        <v>23</v>
      </c>
      <c r="C328" s="4" t="s">
        <v>12</v>
      </c>
      <c r="D328" s="4" t="s">
        <v>15</v>
      </c>
      <c r="E328" s="5" t="n">
        <v>-5304.11</v>
      </c>
      <c r="F328" s="4" t="str">
        <f aca="false">TEXT(A328,"mmm-yyyy")</f>
        <v>Aug-2025</v>
      </c>
    </row>
    <row r="329" customFormat="false" ht="15" hidden="false" customHeight="false" outlineLevel="0" collapsed="false">
      <c r="A329" s="3" t="n">
        <v>45871</v>
      </c>
      <c r="B329" s="4" t="s">
        <v>11</v>
      </c>
      <c r="C329" s="4" t="s">
        <v>8</v>
      </c>
      <c r="D329" s="4" t="s">
        <v>9</v>
      </c>
      <c r="E329" s="5" t="n">
        <v>6590.69</v>
      </c>
      <c r="F329" s="4" t="str">
        <f aca="false">TEXT(A329,"mmm-yyyy")</f>
        <v>Aug-2025</v>
      </c>
    </row>
    <row r="330" customFormat="false" ht="15" hidden="false" customHeight="false" outlineLevel="0" collapsed="false">
      <c r="A330" s="3" t="n">
        <v>45871</v>
      </c>
      <c r="B330" s="4" t="s">
        <v>21</v>
      </c>
      <c r="C330" s="4" t="s">
        <v>18</v>
      </c>
      <c r="D330" s="4" t="s">
        <v>9</v>
      </c>
      <c r="E330" s="5" t="n">
        <v>-3568.15</v>
      </c>
      <c r="F330" s="4" t="str">
        <f aca="false">TEXT(A330,"mmm-yyyy")</f>
        <v>Aug-2025</v>
      </c>
    </row>
    <row r="331" customFormat="false" ht="15" hidden="false" customHeight="false" outlineLevel="0" collapsed="false">
      <c r="A331" s="3" t="n">
        <v>45871</v>
      </c>
      <c r="B331" s="4" t="s">
        <v>23</v>
      </c>
      <c r="C331" s="4" t="s">
        <v>12</v>
      </c>
      <c r="D331" s="4" t="s">
        <v>9</v>
      </c>
      <c r="E331" s="5" t="n">
        <v>-3125.66</v>
      </c>
      <c r="F331" s="4" t="str">
        <f aca="false">TEXT(A331,"mmm-yyyy")</f>
        <v>Aug-2025</v>
      </c>
    </row>
    <row r="332" customFormat="false" ht="15" hidden="false" customHeight="false" outlineLevel="0" collapsed="false">
      <c r="A332" s="3" t="n">
        <v>45872</v>
      </c>
      <c r="B332" s="4" t="s">
        <v>22</v>
      </c>
      <c r="C332" s="4" t="s">
        <v>18</v>
      </c>
      <c r="D332" s="4" t="s">
        <v>9</v>
      </c>
      <c r="E332" s="5" t="n">
        <v>-3399.02</v>
      </c>
      <c r="F332" s="4" t="str">
        <f aca="false">TEXT(A332,"mmm-yyyy")</f>
        <v>Aug-2025</v>
      </c>
    </row>
    <row r="333" customFormat="false" ht="15" hidden="false" customHeight="false" outlineLevel="0" collapsed="false">
      <c r="A333" s="3" t="n">
        <v>45873</v>
      </c>
      <c r="B333" s="4" t="s">
        <v>11</v>
      </c>
      <c r="C333" s="4" t="s">
        <v>14</v>
      </c>
      <c r="D333" s="4" t="s">
        <v>9</v>
      </c>
      <c r="E333" s="5" t="n">
        <v>9697.55</v>
      </c>
      <c r="F333" s="4" t="str">
        <f aca="false">TEXT(A333,"mmm-yyyy")</f>
        <v>Aug-2025</v>
      </c>
    </row>
    <row r="334" customFormat="false" ht="15" hidden="false" customHeight="false" outlineLevel="0" collapsed="false">
      <c r="A334" s="3" t="n">
        <v>45873</v>
      </c>
      <c r="B334" s="4" t="s">
        <v>24</v>
      </c>
      <c r="C334" s="4" t="s">
        <v>8</v>
      </c>
      <c r="D334" s="4" t="s">
        <v>15</v>
      </c>
      <c r="E334" s="5" t="n">
        <v>-2053.56</v>
      </c>
      <c r="F334" s="4" t="str">
        <f aca="false">TEXT(A334,"mmm-yyyy")</f>
        <v>Aug-2025</v>
      </c>
    </row>
    <row r="335" customFormat="false" ht="15" hidden="false" customHeight="false" outlineLevel="0" collapsed="false">
      <c r="A335" s="3" t="n">
        <v>45874</v>
      </c>
      <c r="B335" s="4" t="s">
        <v>23</v>
      </c>
      <c r="C335" s="4" t="s">
        <v>12</v>
      </c>
      <c r="D335" s="4" t="s">
        <v>10</v>
      </c>
      <c r="E335" s="5" t="n">
        <v>2437.77</v>
      </c>
      <c r="F335" s="4" t="str">
        <f aca="false">TEXT(A335,"mmm-yyyy")</f>
        <v>Aug-2025</v>
      </c>
    </row>
    <row r="336" customFormat="false" ht="15" hidden="false" customHeight="false" outlineLevel="0" collapsed="false">
      <c r="A336" s="3" t="n">
        <v>45875</v>
      </c>
      <c r="B336" s="4" t="s">
        <v>16</v>
      </c>
      <c r="C336" s="4" t="s">
        <v>8</v>
      </c>
      <c r="D336" s="4" t="s">
        <v>13</v>
      </c>
      <c r="E336" s="5" t="n">
        <v>-751.67</v>
      </c>
      <c r="F336" s="4" t="str">
        <f aca="false">TEXT(A336,"mmm-yyyy")</f>
        <v>Aug-2025</v>
      </c>
    </row>
    <row r="337" customFormat="false" ht="15" hidden="false" customHeight="false" outlineLevel="0" collapsed="false">
      <c r="A337" s="3" t="n">
        <v>45876</v>
      </c>
      <c r="B337" s="4" t="s">
        <v>16</v>
      </c>
      <c r="C337" s="4" t="s">
        <v>8</v>
      </c>
      <c r="D337" s="4" t="s">
        <v>15</v>
      </c>
      <c r="E337" s="5" t="n">
        <v>-2361.64</v>
      </c>
      <c r="F337" s="4" t="str">
        <f aca="false">TEXT(A337,"mmm-yyyy")</f>
        <v>Aug-2025</v>
      </c>
    </row>
    <row r="338" customFormat="false" ht="15" hidden="false" customHeight="false" outlineLevel="0" collapsed="false">
      <c r="A338" s="3" t="n">
        <v>45876</v>
      </c>
      <c r="B338" s="4" t="s">
        <v>7</v>
      </c>
      <c r="C338" s="4" t="s">
        <v>18</v>
      </c>
      <c r="D338" s="4" t="s">
        <v>9</v>
      </c>
      <c r="E338" s="5" t="n">
        <v>6123.49</v>
      </c>
      <c r="F338" s="4" t="str">
        <f aca="false">TEXT(A338,"mmm-yyyy")</f>
        <v>Aug-2025</v>
      </c>
    </row>
    <row r="339" customFormat="false" ht="15" hidden="false" customHeight="false" outlineLevel="0" collapsed="false">
      <c r="A339" s="3" t="n">
        <v>45876</v>
      </c>
      <c r="B339" s="4" t="s">
        <v>7</v>
      </c>
      <c r="C339" s="4" t="s">
        <v>12</v>
      </c>
      <c r="D339" s="4" t="s">
        <v>15</v>
      </c>
      <c r="E339" s="5" t="n">
        <v>3981.48</v>
      </c>
      <c r="F339" s="4" t="str">
        <f aca="false">TEXT(A339,"mmm-yyyy")</f>
        <v>Aug-2025</v>
      </c>
    </row>
    <row r="340" customFormat="false" ht="15" hidden="false" customHeight="false" outlineLevel="0" collapsed="false">
      <c r="A340" s="3" t="n">
        <v>45877</v>
      </c>
      <c r="B340" s="4" t="s">
        <v>19</v>
      </c>
      <c r="C340" s="4" t="s">
        <v>18</v>
      </c>
      <c r="D340" s="4" t="s">
        <v>9</v>
      </c>
      <c r="E340" s="5" t="n">
        <v>-4462.95</v>
      </c>
      <c r="F340" s="4" t="str">
        <f aca="false">TEXT(A340,"mmm-yyyy")</f>
        <v>Aug-2025</v>
      </c>
    </row>
    <row r="341" customFormat="false" ht="15" hidden="false" customHeight="false" outlineLevel="0" collapsed="false">
      <c r="A341" s="3" t="n">
        <v>45877</v>
      </c>
      <c r="B341" s="4" t="s">
        <v>7</v>
      </c>
      <c r="C341" s="4" t="s">
        <v>8</v>
      </c>
      <c r="D341" s="4" t="s">
        <v>9</v>
      </c>
      <c r="E341" s="5" t="n">
        <v>11258.04</v>
      </c>
      <c r="F341" s="4" t="str">
        <f aca="false">TEXT(A341,"mmm-yyyy")</f>
        <v>Aug-2025</v>
      </c>
    </row>
    <row r="342" customFormat="false" ht="15" hidden="false" customHeight="false" outlineLevel="0" collapsed="false">
      <c r="A342" s="3" t="n">
        <v>45877</v>
      </c>
      <c r="B342" s="4" t="s">
        <v>11</v>
      </c>
      <c r="C342" s="4" t="s">
        <v>8</v>
      </c>
      <c r="D342" s="4" t="s">
        <v>10</v>
      </c>
      <c r="E342" s="5" t="n">
        <v>7449.88</v>
      </c>
      <c r="F342" s="4" t="str">
        <f aca="false">TEXT(A342,"mmm-yyyy")</f>
        <v>Aug-2025</v>
      </c>
    </row>
    <row r="343" customFormat="false" ht="15" hidden="false" customHeight="false" outlineLevel="0" collapsed="false">
      <c r="A343" s="3" t="n">
        <v>45877</v>
      </c>
      <c r="B343" s="4" t="s">
        <v>24</v>
      </c>
      <c r="C343" s="4" t="s">
        <v>18</v>
      </c>
      <c r="D343" s="4" t="s">
        <v>15</v>
      </c>
      <c r="E343" s="5" t="n">
        <v>-4556.71</v>
      </c>
      <c r="F343" s="4" t="str">
        <f aca="false">TEXT(A343,"mmm-yyyy")</f>
        <v>Aug-2025</v>
      </c>
    </row>
    <row r="344" customFormat="false" ht="15" hidden="false" customHeight="false" outlineLevel="0" collapsed="false">
      <c r="A344" s="3" t="n">
        <v>45877</v>
      </c>
      <c r="B344" s="4" t="s">
        <v>16</v>
      </c>
      <c r="C344" s="4" t="s">
        <v>12</v>
      </c>
      <c r="D344" s="4" t="s">
        <v>15</v>
      </c>
      <c r="E344" s="5" t="n">
        <v>-2730.35</v>
      </c>
      <c r="F344" s="4" t="str">
        <f aca="false">TEXT(A344,"mmm-yyyy")</f>
        <v>Aug-2025</v>
      </c>
    </row>
    <row r="345" customFormat="false" ht="15" hidden="false" customHeight="false" outlineLevel="0" collapsed="false">
      <c r="A345" s="3" t="n">
        <v>45878</v>
      </c>
      <c r="B345" s="4" t="s">
        <v>24</v>
      </c>
      <c r="C345" s="4" t="s">
        <v>12</v>
      </c>
      <c r="D345" s="4" t="s">
        <v>13</v>
      </c>
      <c r="E345" s="5" t="n">
        <v>-2333.71</v>
      </c>
      <c r="F345" s="4" t="str">
        <f aca="false">TEXT(A345,"mmm-yyyy")</f>
        <v>Aug-2025</v>
      </c>
    </row>
    <row r="346" customFormat="false" ht="15" hidden="false" customHeight="false" outlineLevel="0" collapsed="false">
      <c r="A346" s="3" t="n">
        <v>45878</v>
      </c>
      <c r="B346" s="4" t="s">
        <v>19</v>
      </c>
      <c r="C346" s="4" t="s">
        <v>14</v>
      </c>
      <c r="D346" s="4" t="s">
        <v>9</v>
      </c>
      <c r="E346" s="5" t="n">
        <v>-3212.7</v>
      </c>
      <c r="F346" s="4" t="str">
        <f aca="false">TEXT(A346,"mmm-yyyy")</f>
        <v>Aug-2025</v>
      </c>
    </row>
    <row r="347" customFormat="false" ht="15" hidden="false" customHeight="false" outlineLevel="0" collapsed="false">
      <c r="A347" s="3" t="n">
        <v>45880</v>
      </c>
      <c r="B347" s="4" t="s">
        <v>22</v>
      </c>
      <c r="C347" s="4" t="s">
        <v>8</v>
      </c>
      <c r="D347" s="4" t="s">
        <v>9</v>
      </c>
      <c r="E347" s="5" t="n">
        <v>-3075.65</v>
      </c>
      <c r="F347" s="4" t="str">
        <f aca="false">TEXT(A347,"mmm-yyyy")</f>
        <v>Aug-2025</v>
      </c>
    </row>
    <row r="348" customFormat="false" ht="15" hidden="false" customHeight="false" outlineLevel="0" collapsed="false">
      <c r="A348" s="3" t="n">
        <v>45880</v>
      </c>
      <c r="B348" s="4" t="s">
        <v>23</v>
      </c>
      <c r="C348" s="4" t="s">
        <v>14</v>
      </c>
      <c r="D348" s="4" t="s">
        <v>9</v>
      </c>
      <c r="E348" s="5" t="n">
        <v>-3592.44</v>
      </c>
      <c r="F348" s="4" t="str">
        <f aca="false">TEXT(A348,"mmm-yyyy")</f>
        <v>Aug-2025</v>
      </c>
    </row>
    <row r="349" customFormat="false" ht="15" hidden="false" customHeight="false" outlineLevel="0" collapsed="false">
      <c r="A349" s="3" t="n">
        <v>45881</v>
      </c>
      <c r="B349" s="4" t="s">
        <v>17</v>
      </c>
      <c r="C349" s="4" t="s">
        <v>14</v>
      </c>
      <c r="D349" s="4" t="s">
        <v>15</v>
      </c>
      <c r="E349" s="5" t="n">
        <v>-4756.26</v>
      </c>
      <c r="F349" s="4" t="str">
        <f aca="false">TEXT(A349,"mmm-yyyy")</f>
        <v>Aug-2025</v>
      </c>
    </row>
    <row r="350" customFormat="false" ht="15" hidden="false" customHeight="false" outlineLevel="0" collapsed="false">
      <c r="A350" s="3" t="n">
        <v>45882</v>
      </c>
      <c r="B350" s="4" t="s">
        <v>23</v>
      </c>
      <c r="C350" s="4" t="s">
        <v>12</v>
      </c>
      <c r="D350" s="4" t="s">
        <v>9</v>
      </c>
      <c r="E350" s="5" t="n">
        <v>-1462.47</v>
      </c>
      <c r="F350" s="4" t="str">
        <f aca="false">TEXT(A350,"mmm-yyyy")</f>
        <v>Aug-2025</v>
      </c>
    </row>
    <row r="351" customFormat="false" ht="15" hidden="false" customHeight="false" outlineLevel="0" collapsed="false">
      <c r="A351" s="3" t="n">
        <v>45883</v>
      </c>
      <c r="B351" s="4" t="s">
        <v>21</v>
      </c>
      <c r="C351" s="4" t="s">
        <v>8</v>
      </c>
      <c r="D351" s="4" t="s">
        <v>13</v>
      </c>
      <c r="E351" s="5" t="n">
        <v>-4173.63</v>
      </c>
      <c r="F351" s="4" t="str">
        <f aca="false">TEXT(A351,"mmm-yyyy")</f>
        <v>Aug-2025</v>
      </c>
    </row>
    <row r="352" customFormat="false" ht="15" hidden="false" customHeight="false" outlineLevel="0" collapsed="false">
      <c r="A352" s="3" t="n">
        <v>45883</v>
      </c>
      <c r="B352" s="4" t="s">
        <v>22</v>
      </c>
      <c r="C352" s="4" t="s">
        <v>14</v>
      </c>
      <c r="D352" s="4" t="s">
        <v>15</v>
      </c>
      <c r="E352" s="5" t="n">
        <v>-2928.64</v>
      </c>
      <c r="F352" s="4" t="str">
        <f aca="false">TEXT(A352,"mmm-yyyy")</f>
        <v>Aug-2025</v>
      </c>
    </row>
    <row r="353" customFormat="false" ht="15" hidden="false" customHeight="false" outlineLevel="0" collapsed="false">
      <c r="A353" s="3" t="n">
        <v>45884</v>
      </c>
      <c r="B353" s="4" t="s">
        <v>19</v>
      </c>
      <c r="C353" s="4" t="s">
        <v>14</v>
      </c>
      <c r="D353" s="4" t="s">
        <v>13</v>
      </c>
      <c r="E353" s="5" t="n">
        <v>-3298.59</v>
      </c>
      <c r="F353" s="4" t="str">
        <f aca="false">TEXT(A353,"mmm-yyyy")</f>
        <v>Aug-2025</v>
      </c>
    </row>
    <row r="354" customFormat="false" ht="15" hidden="false" customHeight="false" outlineLevel="0" collapsed="false">
      <c r="A354" s="3" t="n">
        <v>45886</v>
      </c>
      <c r="B354" s="4" t="s">
        <v>11</v>
      </c>
      <c r="C354" s="4" t="s">
        <v>14</v>
      </c>
      <c r="D354" s="4" t="s">
        <v>9</v>
      </c>
      <c r="E354" s="5" t="n">
        <v>2938.28</v>
      </c>
      <c r="F354" s="4" t="str">
        <f aca="false">TEXT(A354,"mmm-yyyy")</f>
        <v>Aug-2025</v>
      </c>
    </row>
    <row r="355" customFormat="false" ht="15" hidden="false" customHeight="false" outlineLevel="0" collapsed="false">
      <c r="A355" s="3" t="n">
        <v>45887</v>
      </c>
      <c r="B355" s="4" t="s">
        <v>19</v>
      </c>
      <c r="C355" s="4" t="s">
        <v>14</v>
      </c>
      <c r="D355" s="4" t="s">
        <v>15</v>
      </c>
      <c r="E355" s="5" t="n">
        <v>-2710.07</v>
      </c>
      <c r="F355" s="4" t="str">
        <f aca="false">TEXT(A355,"mmm-yyyy")</f>
        <v>Aug-2025</v>
      </c>
    </row>
    <row r="356" customFormat="false" ht="15" hidden="false" customHeight="false" outlineLevel="0" collapsed="false">
      <c r="A356" s="3" t="n">
        <v>45887</v>
      </c>
      <c r="B356" s="4" t="s">
        <v>7</v>
      </c>
      <c r="C356" s="4" t="s">
        <v>8</v>
      </c>
      <c r="D356" s="4" t="s">
        <v>15</v>
      </c>
      <c r="E356" s="5" t="n">
        <v>16307.93</v>
      </c>
      <c r="F356" s="4" t="str">
        <f aca="false">TEXT(A356,"mmm-yyyy")</f>
        <v>Aug-2025</v>
      </c>
    </row>
    <row r="357" customFormat="false" ht="15" hidden="false" customHeight="false" outlineLevel="0" collapsed="false">
      <c r="A357" s="3" t="n">
        <v>45888</v>
      </c>
      <c r="B357" s="4" t="s">
        <v>24</v>
      </c>
      <c r="C357" s="4" t="s">
        <v>12</v>
      </c>
      <c r="D357" s="4" t="s">
        <v>9</v>
      </c>
      <c r="E357" s="5" t="n">
        <v>-3268.91</v>
      </c>
      <c r="F357" s="4" t="str">
        <f aca="false">TEXT(A357,"mmm-yyyy")</f>
        <v>Aug-2025</v>
      </c>
    </row>
    <row r="358" customFormat="false" ht="15" hidden="false" customHeight="false" outlineLevel="0" collapsed="false">
      <c r="A358" s="3" t="n">
        <v>45888</v>
      </c>
      <c r="B358" s="4" t="s">
        <v>19</v>
      </c>
      <c r="C358" s="4" t="s">
        <v>14</v>
      </c>
      <c r="D358" s="4" t="s">
        <v>9</v>
      </c>
      <c r="E358" s="5" t="n">
        <v>-2609.97</v>
      </c>
      <c r="F358" s="4" t="str">
        <f aca="false">TEXT(A358,"mmm-yyyy")</f>
        <v>Aug-2025</v>
      </c>
    </row>
    <row r="359" customFormat="false" ht="15" hidden="false" customHeight="false" outlineLevel="0" collapsed="false">
      <c r="A359" s="3" t="n">
        <v>45888</v>
      </c>
      <c r="B359" s="4" t="s">
        <v>11</v>
      </c>
      <c r="C359" s="4" t="s">
        <v>12</v>
      </c>
      <c r="D359" s="4" t="s">
        <v>15</v>
      </c>
      <c r="E359" s="5" t="n">
        <v>12353.41</v>
      </c>
      <c r="F359" s="4" t="str">
        <f aca="false">TEXT(A359,"mmm-yyyy")</f>
        <v>Aug-2025</v>
      </c>
    </row>
    <row r="360" customFormat="false" ht="15" hidden="false" customHeight="false" outlineLevel="0" collapsed="false">
      <c r="A360" s="3" t="n">
        <v>45890</v>
      </c>
      <c r="B360" s="4" t="s">
        <v>19</v>
      </c>
      <c r="C360" s="4" t="s">
        <v>12</v>
      </c>
      <c r="D360" s="4" t="s">
        <v>9</v>
      </c>
      <c r="E360" s="5" t="n">
        <v>-3633.39</v>
      </c>
      <c r="F360" s="4" t="str">
        <f aca="false">TEXT(A360,"mmm-yyyy")</f>
        <v>Aug-2025</v>
      </c>
    </row>
    <row r="361" customFormat="false" ht="15" hidden="false" customHeight="false" outlineLevel="0" collapsed="false">
      <c r="A361" s="3" t="n">
        <v>45890</v>
      </c>
      <c r="B361" s="4" t="s">
        <v>11</v>
      </c>
      <c r="C361" s="4" t="s">
        <v>18</v>
      </c>
      <c r="D361" s="4" t="s">
        <v>10</v>
      </c>
      <c r="E361" s="5" t="n">
        <v>7671.9</v>
      </c>
      <c r="F361" s="4" t="str">
        <f aca="false">TEXT(A361,"mmm-yyyy")</f>
        <v>Aug-2025</v>
      </c>
    </row>
    <row r="362" customFormat="false" ht="15" hidden="false" customHeight="false" outlineLevel="0" collapsed="false">
      <c r="A362" s="3" t="n">
        <v>45890</v>
      </c>
      <c r="B362" s="4" t="s">
        <v>19</v>
      </c>
      <c r="C362" s="4" t="s">
        <v>18</v>
      </c>
      <c r="D362" s="4" t="s">
        <v>13</v>
      </c>
      <c r="E362" s="5" t="n">
        <v>-3205.38</v>
      </c>
      <c r="F362" s="4" t="str">
        <f aca="false">TEXT(A362,"mmm-yyyy")</f>
        <v>Aug-2025</v>
      </c>
    </row>
    <row r="363" customFormat="false" ht="15" hidden="false" customHeight="false" outlineLevel="0" collapsed="false">
      <c r="A363" s="3" t="n">
        <v>45891</v>
      </c>
      <c r="B363" s="4" t="s">
        <v>16</v>
      </c>
      <c r="C363" s="4" t="s">
        <v>8</v>
      </c>
      <c r="D363" s="4" t="s">
        <v>9</v>
      </c>
      <c r="E363" s="5" t="n">
        <v>269.12</v>
      </c>
      <c r="F363" s="4" t="str">
        <f aca="false">TEXT(A363,"mmm-yyyy")</f>
        <v>Aug-2025</v>
      </c>
    </row>
    <row r="364" customFormat="false" ht="15" hidden="false" customHeight="false" outlineLevel="0" collapsed="false">
      <c r="A364" s="3" t="n">
        <v>45891</v>
      </c>
      <c r="B364" s="4" t="s">
        <v>20</v>
      </c>
      <c r="C364" s="4" t="s">
        <v>18</v>
      </c>
      <c r="D364" s="4" t="s">
        <v>15</v>
      </c>
      <c r="E364" s="5" t="n">
        <v>-388.1</v>
      </c>
      <c r="F364" s="4" t="str">
        <f aca="false">TEXT(A364,"mmm-yyyy")</f>
        <v>Aug-2025</v>
      </c>
    </row>
    <row r="365" customFormat="false" ht="15" hidden="false" customHeight="false" outlineLevel="0" collapsed="false">
      <c r="A365" s="3" t="n">
        <v>45892</v>
      </c>
      <c r="B365" s="4" t="s">
        <v>16</v>
      </c>
      <c r="C365" s="4" t="s">
        <v>14</v>
      </c>
      <c r="D365" s="4" t="s">
        <v>9</v>
      </c>
      <c r="E365" s="5" t="n">
        <v>-1915.2</v>
      </c>
      <c r="F365" s="4" t="str">
        <f aca="false">TEXT(A365,"mmm-yyyy")</f>
        <v>Aug-2025</v>
      </c>
    </row>
    <row r="366" customFormat="false" ht="15" hidden="false" customHeight="false" outlineLevel="0" collapsed="false">
      <c r="A366" s="3" t="n">
        <v>45894</v>
      </c>
      <c r="B366" s="4" t="s">
        <v>11</v>
      </c>
      <c r="C366" s="4" t="s">
        <v>12</v>
      </c>
      <c r="D366" s="4" t="s">
        <v>9</v>
      </c>
      <c r="E366" s="5" t="n">
        <v>11084.25</v>
      </c>
      <c r="F366" s="4" t="str">
        <f aca="false">TEXT(A366,"mmm-yyyy")</f>
        <v>Aug-2025</v>
      </c>
    </row>
    <row r="367" customFormat="false" ht="15" hidden="false" customHeight="false" outlineLevel="0" collapsed="false">
      <c r="A367" s="3" t="n">
        <v>45894</v>
      </c>
      <c r="B367" s="4" t="s">
        <v>7</v>
      </c>
      <c r="C367" s="4" t="s">
        <v>8</v>
      </c>
      <c r="D367" s="4" t="s">
        <v>15</v>
      </c>
      <c r="E367" s="5" t="n">
        <v>5476.61</v>
      </c>
      <c r="F367" s="4" t="str">
        <f aca="false">TEXT(A367,"mmm-yyyy")</f>
        <v>Aug-2025</v>
      </c>
    </row>
    <row r="368" customFormat="false" ht="15" hidden="false" customHeight="false" outlineLevel="0" collapsed="false">
      <c r="A368" s="3" t="n">
        <v>45895</v>
      </c>
      <c r="B368" s="4" t="s">
        <v>11</v>
      </c>
      <c r="C368" s="4" t="s">
        <v>8</v>
      </c>
      <c r="D368" s="4" t="s">
        <v>10</v>
      </c>
      <c r="E368" s="5" t="n">
        <v>10195.76</v>
      </c>
      <c r="F368" s="4" t="str">
        <f aca="false">TEXT(A368,"mmm-yyyy")</f>
        <v>Aug-2025</v>
      </c>
    </row>
    <row r="369" customFormat="false" ht="15" hidden="false" customHeight="false" outlineLevel="0" collapsed="false">
      <c r="A369" s="3" t="n">
        <v>45895</v>
      </c>
      <c r="B369" s="4" t="s">
        <v>16</v>
      </c>
      <c r="C369" s="4" t="s">
        <v>14</v>
      </c>
      <c r="D369" s="4" t="s">
        <v>10</v>
      </c>
      <c r="E369" s="5" t="n">
        <v>-3124.95</v>
      </c>
      <c r="F369" s="4" t="str">
        <f aca="false">TEXT(A369,"mmm-yyyy")</f>
        <v>Aug-2025</v>
      </c>
    </row>
    <row r="370" customFormat="false" ht="15" hidden="false" customHeight="false" outlineLevel="0" collapsed="false">
      <c r="A370" s="3" t="n">
        <v>45895</v>
      </c>
      <c r="B370" s="4" t="s">
        <v>21</v>
      </c>
      <c r="C370" s="4" t="s">
        <v>12</v>
      </c>
      <c r="D370" s="4" t="s">
        <v>15</v>
      </c>
      <c r="E370" s="5" t="n">
        <v>-2366.57</v>
      </c>
      <c r="F370" s="4" t="str">
        <f aca="false">TEXT(A370,"mmm-yyyy")</f>
        <v>Aug-2025</v>
      </c>
    </row>
    <row r="371" customFormat="false" ht="15" hidden="false" customHeight="false" outlineLevel="0" collapsed="false">
      <c r="A371" s="3" t="n">
        <v>45896</v>
      </c>
      <c r="B371" s="4" t="s">
        <v>21</v>
      </c>
      <c r="C371" s="4" t="s">
        <v>12</v>
      </c>
      <c r="D371" s="4" t="s">
        <v>15</v>
      </c>
      <c r="E371" s="5" t="n">
        <v>-5742.25</v>
      </c>
      <c r="F371" s="4" t="str">
        <f aca="false">TEXT(A371,"mmm-yyyy")</f>
        <v>Aug-2025</v>
      </c>
    </row>
    <row r="372" customFormat="false" ht="15" hidden="false" customHeight="false" outlineLevel="0" collapsed="false">
      <c r="A372" s="3" t="n">
        <v>45897</v>
      </c>
      <c r="B372" s="4" t="s">
        <v>20</v>
      </c>
      <c r="C372" s="4" t="s">
        <v>8</v>
      </c>
      <c r="D372" s="4" t="s">
        <v>15</v>
      </c>
      <c r="E372" s="5" t="n">
        <v>-531.49</v>
      </c>
      <c r="F372" s="4" t="str">
        <f aca="false">TEXT(A372,"mmm-yyyy")</f>
        <v>Aug-2025</v>
      </c>
    </row>
    <row r="373" customFormat="false" ht="15" hidden="false" customHeight="false" outlineLevel="0" collapsed="false">
      <c r="A373" s="3" t="n">
        <v>45897</v>
      </c>
      <c r="B373" s="4" t="s">
        <v>7</v>
      </c>
      <c r="C373" s="4" t="s">
        <v>18</v>
      </c>
      <c r="D373" s="4" t="s">
        <v>9</v>
      </c>
      <c r="E373" s="5" t="n">
        <v>12467.32</v>
      </c>
      <c r="F373" s="4" t="str">
        <f aca="false">TEXT(A373,"mmm-yyyy")</f>
        <v>Aug-2025</v>
      </c>
    </row>
    <row r="374" customFormat="false" ht="15" hidden="false" customHeight="false" outlineLevel="0" collapsed="false">
      <c r="A374" s="3" t="n">
        <v>45897</v>
      </c>
      <c r="B374" s="4" t="s">
        <v>7</v>
      </c>
      <c r="C374" s="4" t="s">
        <v>8</v>
      </c>
      <c r="D374" s="4" t="s">
        <v>13</v>
      </c>
      <c r="E374" s="5" t="n">
        <v>5280.54</v>
      </c>
      <c r="F374" s="4" t="str">
        <f aca="false">TEXT(A374,"mmm-yyyy")</f>
        <v>Aug-2025</v>
      </c>
    </row>
    <row r="375" customFormat="false" ht="15" hidden="false" customHeight="false" outlineLevel="0" collapsed="false">
      <c r="A375" s="3" t="n">
        <v>45897</v>
      </c>
      <c r="B375" s="4" t="s">
        <v>16</v>
      </c>
      <c r="C375" s="4" t="s">
        <v>18</v>
      </c>
      <c r="D375" s="4" t="s">
        <v>15</v>
      </c>
      <c r="E375" s="5" t="n">
        <v>-5305.16</v>
      </c>
      <c r="F375" s="4" t="str">
        <f aca="false">TEXT(A375,"mmm-yyyy")</f>
        <v>Aug-2025</v>
      </c>
    </row>
    <row r="376" customFormat="false" ht="15" hidden="false" customHeight="false" outlineLevel="0" collapsed="false">
      <c r="A376" s="3" t="n">
        <v>45898</v>
      </c>
      <c r="B376" s="4" t="s">
        <v>23</v>
      </c>
      <c r="C376" s="4" t="s">
        <v>12</v>
      </c>
      <c r="D376" s="4" t="s">
        <v>9</v>
      </c>
      <c r="E376" s="5" t="n">
        <v>-2168.72</v>
      </c>
      <c r="F376" s="4" t="str">
        <f aca="false">TEXT(A376,"mmm-yyyy")</f>
        <v>Aug-2025</v>
      </c>
    </row>
    <row r="377" customFormat="false" ht="15" hidden="false" customHeight="false" outlineLevel="0" collapsed="false">
      <c r="A377" s="3" t="n">
        <v>45898</v>
      </c>
      <c r="B377" s="4" t="s">
        <v>23</v>
      </c>
      <c r="C377" s="4" t="s">
        <v>12</v>
      </c>
      <c r="D377" s="4" t="s">
        <v>15</v>
      </c>
      <c r="E377" s="5" t="n">
        <v>-3576.65</v>
      </c>
      <c r="F377" s="4" t="str">
        <f aca="false">TEXT(A377,"mmm-yyyy")</f>
        <v>Aug-2025</v>
      </c>
    </row>
    <row r="378" customFormat="false" ht="15" hidden="false" customHeight="false" outlineLevel="0" collapsed="false">
      <c r="A378" s="3" t="n">
        <v>45900</v>
      </c>
      <c r="B378" s="4" t="s">
        <v>7</v>
      </c>
      <c r="C378" s="4" t="s">
        <v>18</v>
      </c>
      <c r="D378" s="4" t="s">
        <v>15</v>
      </c>
      <c r="E378" s="5" t="n">
        <v>4675.24</v>
      </c>
      <c r="F378" s="4" t="str">
        <f aca="false">TEXT(A378,"mmm-yyyy")</f>
        <v>Aug-2025</v>
      </c>
    </row>
    <row r="379" customFormat="false" ht="15" hidden="false" customHeight="false" outlineLevel="0" collapsed="false">
      <c r="A379" s="3" t="n">
        <v>45901</v>
      </c>
      <c r="B379" s="4" t="s">
        <v>16</v>
      </c>
      <c r="C379" s="4" t="s">
        <v>14</v>
      </c>
      <c r="D379" s="4" t="s">
        <v>9</v>
      </c>
      <c r="E379" s="5" t="n">
        <v>-2696.29</v>
      </c>
      <c r="F379" s="4" t="str">
        <f aca="false">TEXT(A379,"mmm-yyyy")</f>
        <v>Sep-2025</v>
      </c>
    </row>
    <row r="380" customFormat="false" ht="15" hidden="false" customHeight="false" outlineLevel="0" collapsed="false">
      <c r="A380" s="3" t="n">
        <v>45902</v>
      </c>
      <c r="B380" s="4" t="s">
        <v>19</v>
      </c>
      <c r="C380" s="4" t="s">
        <v>14</v>
      </c>
      <c r="D380" s="4" t="s">
        <v>15</v>
      </c>
      <c r="E380" s="5" t="n">
        <v>-2300.68</v>
      </c>
      <c r="F380" s="4" t="str">
        <f aca="false">TEXT(A380,"mmm-yyyy")</f>
        <v>Sep-2025</v>
      </c>
    </row>
    <row r="381" customFormat="false" ht="15" hidden="false" customHeight="false" outlineLevel="0" collapsed="false">
      <c r="A381" s="3" t="n">
        <v>45902</v>
      </c>
      <c r="B381" s="4" t="s">
        <v>7</v>
      </c>
      <c r="C381" s="4" t="s">
        <v>14</v>
      </c>
      <c r="D381" s="4" t="s">
        <v>13</v>
      </c>
      <c r="E381" s="5" t="n">
        <v>6974.53</v>
      </c>
      <c r="F381" s="4" t="str">
        <f aca="false">TEXT(A381,"mmm-yyyy")</f>
        <v>Sep-2025</v>
      </c>
    </row>
    <row r="382" customFormat="false" ht="15" hidden="false" customHeight="false" outlineLevel="0" collapsed="false">
      <c r="A382" s="3" t="n">
        <v>45902</v>
      </c>
      <c r="B382" s="4" t="s">
        <v>7</v>
      </c>
      <c r="C382" s="4" t="s">
        <v>8</v>
      </c>
      <c r="D382" s="4" t="s">
        <v>13</v>
      </c>
      <c r="E382" s="5" t="n">
        <v>13983</v>
      </c>
      <c r="F382" s="4" t="str">
        <f aca="false">TEXT(A382,"mmm-yyyy")</f>
        <v>Sep-2025</v>
      </c>
    </row>
    <row r="383" customFormat="false" ht="15" hidden="false" customHeight="false" outlineLevel="0" collapsed="false">
      <c r="A383" s="3" t="n">
        <v>45904</v>
      </c>
      <c r="B383" s="4" t="s">
        <v>11</v>
      </c>
      <c r="C383" s="4" t="s">
        <v>14</v>
      </c>
      <c r="D383" s="4" t="s">
        <v>15</v>
      </c>
      <c r="E383" s="5" t="n">
        <v>5510.59</v>
      </c>
      <c r="F383" s="4" t="str">
        <f aca="false">TEXT(A383,"mmm-yyyy")</f>
        <v>Sep-2025</v>
      </c>
    </row>
    <row r="384" customFormat="false" ht="15" hidden="false" customHeight="false" outlineLevel="0" collapsed="false">
      <c r="A384" s="3" t="n">
        <v>45904</v>
      </c>
      <c r="B384" s="4" t="s">
        <v>19</v>
      </c>
      <c r="C384" s="4" t="s">
        <v>8</v>
      </c>
      <c r="D384" s="4" t="s">
        <v>13</v>
      </c>
      <c r="E384" s="5" t="n">
        <v>-3708.23</v>
      </c>
      <c r="F384" s="4" t="str">
        <f aca="false">TEXT(A384,"mmm-yyyy")</f>
        <v>Sep-2025</v>
      </c>
    </row>
    <row r="385" customFormat="false" ht="15" hidden="false" customHeight="false" outlineLevel="0" collapsed="false">
      <c r="A385" s="3" t="n">
        <v>45905</v>
      </c>
      <c r="B385" s="4" t="s">
        <v>23</v>
      </c>
      <c r="C385" s="4" t="s">
        <v>12</v>
      </c>
      <c r="D385" s="4" t="s">
        <v>15</v>
      </c>
      <c r="E385" s="5" t="n">
        <v>-2373.82</v>
      </c>
      <c r="F385" s="4" t="str">
        <f aca="false">TEXT(A385,"mmm-yyyy")</f>
        <v>Sep-2025</v>
      </c>
    </row>
    <row r="386" customFormat="false" ht="15" hidden="false" customHeight="false" outlineLevel="0" collapsed="false">
      <c r="A386" s="3" t="n">
        <v>45905</v>
      </c>
      <c r="B386" s="4" t="s">
        <v>21</v>
      </c>
      <c r="C386" s="4" t="s">
        <v>18</v>
      </c>
      <c r="D386" s="4" t="s">
        <v>9</v>
      </c>
      <c r="E386" s="5" t="n">
        <v>381.5</v>
      </c>
      <c r="F386" s="4" t="str">
        <f aca="false">TEXT(A386,"mmm-yyyy")</f>
        <v>Sep-2025</v>
      </c>
    </row>
    <row r="387" customFormat="false" ht="15" hidden="false" customHeight="false" outlineLevel="0" collapsed="false">
      <c r="A387" s="3" t="n">
        <v>45905</v>
      </c>
      <c r="B387" s="4" t="s">
        <v>20</v>
      </c>
      <c r="C387" s="4" t="s">
        <v>14</v>
      </c>
      <c r="D387" s="4" t="s">
        <v>15</v>
      </c>
      <c r="E387" s="5" t="n">
        <v>-3088.83</v>
      </c>
      <c r="F387" s="4" t="str">
        <f aca="false">TEXT(A387,"mmm-yyyy")</f>
        <v>Sep-2025</v>
      </c>
    </row>
    <row r="388" customFormat="false" ht="15" hidden="false" customHeight="false" outlineLevel="0" collapsed="false">
      <c r="A388" s="3" t="n">
        <v>45906</v>
      </c>
      <c r="B388" s="4" t="s">
        <v>20</v>
      </c>
      <c r="C388" s="4" t="s">
        <v>8</v>
      </c>
      <c r="D388" s="4" t="s">
        <v>10</v>
      </c>
      <c r="E388" s="5" t="n">
        <v>-1153.96</v>
      </c>
      <c r="F388" s="4" t="str">
        <f aca="false">TEXT(A388,"mmm-yyyy")</f>
        <v>Sep-2025</v>
      </c>
    </row>
    <row r="389" customFormat="false" ht="15" hidden="false" customHeight="false" outlineLevel="0" collapsed="false">
      <c r="A389" s="3" t="n">
        <v>45907</v>
      </c>
      <c r="B389" s="4" t="s">
        <v>21</v>
      </c>
      <c r="C389" s="4" t="s">
        <v>12</v>
      </c>
      <c r="D389" s="4" t="s">
        <v>13</v>
      </c>
      <c r="E389" s="5" t="n">
        <v>-307.29</v>
      </c>
      <c r="F389" s="4" t="str">
        <f aca="false">TEXT(A389,"mmm-yyyy")</f>
        <v>Sep-2025</v>
      </c>
    </row>
    <row r="390" customFormat="false" ht="15" hidden="false" customHeight="false" outlineLevel="0" collapsed="false">
      <c r="A390" s="3" t="n">
        <v>45908</v>
      </c>
      <c r="B390" s="4" t="s">
        <v>11</v>
      </c>
      <c r="C390" s="4" t="s">
        <v>18</v>
      </c>
      <c r="D390" s="4" t="s">
        <v>15</v>
      </c>
      <c r="E390" s="5" t="n">
        <v>8073.11</v>
      </c>
      <c r="F390" s="4" t="str">
        <f aca="false">TEXT(A390,"mmm-yyyy")</f>
        <v>Sep-2025</v>
      </c>
    </row>
    <row r="391" customFormat="false" ht="15" hidden="false" customHeight="false" outlineLevel="0" collapsed="false">
      <c r="A391" s="3" t="n">
        <v>45910</v>
      </c>
      <c r="B391" s="4" t="s">
        <v>7</v>
      </c>
      <c r="C391" s="4" t="s">
        <v>12</v>
      </c>
      <c r="D391" s="4" t="s">
        <v>15</v>
      </c>
      <c r="E391" s="5" t="n">
        <v>6170.96</v>
      </c>
      <c r="F391" s="4" t="str">
        <f aca="false">TEXT(A391,"mmm-yyyy")</f>
        <v>Sep-2025</v>
      </c>
    </row>
    <row r="392" customFormat="false" ht="15" hidden="false" customHeight="false" outlineLevel="0" collapsed="false">
      <c r="A392" s="3" t="n">
        <v>45911</v>
      </c>
      <c r="B392" s="4" t="s">
        <v>16</v>
      </c>
      <c r="C392" s="4" t="s">
        <v>12</v>
      </c>
      <c r="D392" s="4" t="s">
        <v>13</v>
      </c>
      <c r="E392" s="5" t="n">
        <v>-1160.56</v>
      </c>
      <c r="F392" s="4" t="str">
        <f aca="false">TEXT(A392,"mmm-yyyy")</f>
        <v>Sep-2025</v>
      </c>
    </row>
    <row r="393" customFormat="false" ht="15" hidden="false" customHeight="false" outlineLevel="0" collapsed="false">
      <c r="A393" s="3" t="n">
        <v>45911</v>
      </c>
      <c r="B393" s="4" t="s">
        <v>7</v>
      </c>
      <c r="C393" s="4" t="s">
        <v>18</v>
      </c>
      <c r="D393" s="4" t="s">
        <v>9</v>
      </c>
      <c r="E393" s="5" t="n">
        <v>13144.29</v>
      </c>
      <c r="F393" s="4" t="str">
        <f aca="false">TEXT(A393,"mmm-yyyy")</f>
        <v>Sep-2025</v>
      </c>
    </row>
    <row r="394" customFormat="false" ht="15" hidden="false" customHeight="false" outlineLevel="0" collapsed="false">
      <c r="A394" s="3" t="n">
        <v>45911</v>
      </c>
      <c r="B394" s="4" t="s">
        <v>21</v>
      </c>
      <c r="C394" s="4" t="s">
        <v>12</v>
      </c>
      <c r="D394" s="4" t="s">
        <v>13</v>
      </c>
      <c r="E394" s="5" t="n">
        <v>-1727.23</v>
      </c>
      <c r="F394" s="4" t="str">
        <f aca="false">TEXT(A394,"mmm-yyyy")</f>
        <v>Sep-2025</v>
      </c>
    </row>
    <row r="395" customFormat="false" ht="15" hidden="false" customHeight="false" outlineLevel="0" collapsed="false">
      <c r="A395" s="3" t="n">
        <v>45911</v>
      </c>
      <c r="B395" s="4" t="s">
        <v>17</v>
      </c>
      <c r="C395" s="4" t="s">
        <v>14</v>
      </c>
      <c r="D395" s="4" t="s">
        <v>9</v>
      </c>
      <c r="E395" s="5" t="n">
        <v>-2562.08</v>
      </c>
      <c r="F395" s="4" t="str">
        <f aca="false">TEXT(A395,"mmm-yyyy")</f>
        <v>Sep-2025</v>
      </c>
    </row>
    <row r="396" customFormat="false" ht="15" hidden="false" customHeight="false" outlineLevel="0" collapsed="false">
      <c r="A396" s="3" t="n">
        <v>45912</v>
      </c>
      <c r="B396" s="4" t="s">
        <v>11</v>
      </c>
      <c r="C396" s="4" t="s">
        <v>18</v>
      </c>
      <c r="D396" s="4" t="s">
        <v>15</v>
      </c>
      <c r="E396" s="5" t="n">
        <v>12949.15</v>
      </c>
      <c r="F396" s="4" t="str">
        <f aca="false">TEXT(A396,"mmm-yyyy")</f>
        <v>Sep-2025</v>
      </c>
    </row>
    <row r="397" customFormat="false" ht="15" hidden="false" customHeight="false" outlineLevel="0" collapsed="false">
      <c r="A397" s="3" t="n">
        <v>45913</v>
      </c>
      <c r="B397" s="4" t="s">
        <v>19</v>
      </c>
      <c r="C397" s="4" t="s">
        <v>14</v>
      </c>
      <c r="D397" s="4" t="s">
        <v>13</v>
      </c>
      <c r="E397" s="5" t="n">
        <v>-750.85</v>
      </c>
      <c r="F397" s="4" t="str">
        <f aca="false">TEXT(A397,"mmm-yyyy")</f>
        <v>Sep-2025</v>
      </c>
    </row>
    <row r="398" customFormat="false" ht="15" hidden="false" customHeight="false" outlineLevel="0" collapsed="false">
      <c r="A398" s="3" t="n">
        <v>45914</v>
      </c>
      <c r="B398" s="4" t="s">
        <v>19</v>
      </c>
      <c r="C398" s="4" t="s">
        <v>18</v>
      </c>
      <c r="D398" s="4" t="s">
        <v>9</v>
      </c>
      <c r="E398" s="5" t="n">
        <v>-4621.4</v>
      </c>
      <c r="F398" s="4" t="str">
        <f aca="false">TEXT(A398,"mmm-yyyy")</f>
        <v>Sep-2025</v>
      </c>
    </row>
    <row r="399" customFormat="false" ht="15" hidden="false" customHeight="false" outlineLevel="0" collapsed="false">
      <c r="A399" s="3" t="n">
        <v>45914</v>
      </c>
      <c r="B399" s="4" t="s">
        <v>11</v>
      </c>
      <c r="C399" s="4" t="s">
        <v>14</v>
      </c>
      <c r="D399" s="4" t="s">
        <v>13</v>
      </c>
      <c r="E399" s="5" t="n">
        <v>8634.67</v>
      </c>
      <c r="F399" s="4" t="str">
        <f aca="false">TEXT(A399,"mmm-yyyy")</f>
        <v>Sep-2025</v>
      </c>
    </row>
    <row r="400" customFormat="false" ht="15" hidden="false" customHeight="false" outlineLevel="0" collapsed="false">
      <c r="A400" s="3" t="n">
        <v>45914</v>
      </c>
      <c r="B400" s="4" t="s">
        <v>20</v>
      </c>
      <c r="C400" s="4" t="s">
        <v>12</v>
      </c>
      <c r="D400" s="4" t="s">
        <v>13</v>
      </c>
      <c r="E400" s="5" t="n">
        <v>-1584.77</v>
      </c>
      <c r="F400" s="4" t="str">
        <f aca="false">TEXT(A400,"mmm-yyyy")</f>
        <v>Sep-2025</v>
      </c>
    </row>
    <row r="401" customFormat="false" ht="15" hidden="false" customHeight="false" outlineLevel="0" collapsed="false">
      <c r="A401" s="3" t="n">
        <v>45916</v>
      </c>
      <c r="B401" s="4" t="s">
        <v>24</v>
      </c>
      <c r="C401" s="4" t="s">
        <v>18</v>
      </c>
      <c r="D401" s="4" t="s">
        <v>15</v>
      </c>
      <c r="E401" s="5" t="n">
        <v>-3233.24</v>
      </c>
      <c r="F401" s="4" t="str">
        <f aca="false">TEXT(A401,"mmm-yyyy")</f>
        <v>Sep-2025</v>
      </c>
    </row>
    <row r="402" customFormat="false" ht="15" hidden="false" customHeight="false" outlineLevel="0" collapsed="false">
      <c r="A402" s="3" t="n">
        <v>45916</v>
      </c>
      <c r="B402" s="4" t="s">
        <v>24</v>
      </c>
      <c r="C402" s="4" t="s">
        <v>8</v>
      </c>
      <c r="D402" s="4" t="s">
        <v>15</v>
      </c>
      <c r="E402" s="5" t="n">
        <v>-2784.3</v>
      </c>
      <c r="F402" s="4" t="str">
        <f aca="false">TEXT(A402,"mmm-yyyy")</f>
        <v>Sep-2025</v>
      </c>
    </row>
    <row r="403" customFormat="false" ht="15" hidden="false" customHeight="false" outlineLevel="0" collapsed="false">
      <c r="A403" s="3" t="n">
        <v>45918</v>
      </c>
      <c r="B403" s="4" t="s">
        <v>11</v>
      </c>
      <c r="C403" s="4" t="s">
        <v>12</v>
      </c>
      <c r="D403" s="4" t="s">
        <v>15</v>
      </c>
      <c r="E403" s="5" t="n">
        <v>4723.22</v>
      </c>
      <c r="F403" s="4" t="str">
        <f aca="false">TEXT(A403,"mmm-yyyy")</f>
        <v>Sep-2025</v>
      </c>
    </row>
    <row r="404" customFormat="false" ht="15" hidden="false" customHeight="false" outlineLevel="0" collapsed="false">
      <c r="A404" s="3" t="n">
        <v>45921</v>
      </c>
      <c r="B404" s="4" t="s">
        <v>24</v>
      </c>
      <c r="C404" s="4" t="s">
        <v>18</v>
      </c>
      <c r="D404" s="4" t="s">
        <v>10</v>
      </c>
      <c r="E404" s="5" t="n">
        <v>-4454.11</v>
      </c>
      <c r="F404" s="4" t="str">
        <f aca="false">TEXT(A404,"mmm-yyyy")</f>
        <v>Sep-2025</v>
      </c>
    </row>
    <row r="405" customFormat="false" ht="15" hidden="false" customHeight="false" outlineLevel="0" collapsed="false">
      <c r="A405" s="3" t="n">
        <v>45921</v>
      </c>
      <c r="B405" s="4" t="s">
        <v>11</v>
      </c>
      <c r="C405" s="4" t="s">
        <v>14</v>
      </c>
      <c r="D405" s="4" t="s">
        <v>13</v>
      </c>
      <c r="E405" s="5" t="n">
        <v>11599.04</v>
      </c>
      <c r="F405" s="4" t="str">
        <f aca="false">TEXT(A405,"mmm-yyyy")</f>
        <v>Sep-2025</v>
      </c>
    </row>
    <row r="406" customFormat="false" ht="15" hidden="false" customHeight="false" outlineLevel="0" collapsed="false">
      <c r="A406" s="3" t="n">
        <v>45922</v>
      </c>
      <c r="B406" s="4" t="s">
        <v>19</v>
      </c>
      <c r="C406" s="4" t="s">
        <v>18</v>
      </c>
      <c r="D406" s="4" t="s">
        <v>9</v>
      </c>
      <c r="E406" s="5" t="n">
        <v>306.09</v>
      </c>
      <c r="F406" s="4" t="str">
        <f aca="false">TEXT(A406,"mmm-yyyy")</f>
        <v>Sep-2025</v>
      </c>
    </row>
    <row r="407" customFormat="false" ht="15" hidden="false" customHeight="false" outlineLevel="0" collapsed="false">
      <c r="A407" s="3" t="n">
        <v>45922</v>
      </c>
      <c r="B407" s="4" t="s">
        <v>11</v>
      </c>
      <c r="C407" s="4" t="s">
        <v>12</v>
      </c>
      <c r="D407" s="4" t="s">
        <v>9</v>
      </c>
      <c r="E407" s="5" t="n">
        <v>8800.37</v>
      </c>
      <c r="F407" s="4" t="str">
        <f aca="false">TEXT(A407,"mmm-yyyy")</f>
        <v>Sep-2025</v>
      </c>
    </row>
    <row r="408" customFormat="false" ht="15" hidden="false" customHeight="false" outlineLevel="0" collapsed="false">
      <c r="A408" s="3" t="n">
        <v>45923</v>
      </c>
      <c r="B408" s="4" t="s">
        <v>22</v>
      </c>
      <c r="C408" s="4" t="s">
        <v>14</v>
      </c>
      <c r="D408" s="4" t="s">
        <v>15</v>
      </c>
      <c r="E408" s="5" t="n">
        <v>-2990.51</v>
      </c>
      <c r="F408" s="4" t="str">
        <f aca="false">TEXT(A408,"mmm-yyyy")</f>
        <v>Sep-2025</v>
      </c>
    </row>
    <row r="409" customFormat="false" ht="15" hidden="false" customHeight="false" outlineLevel="0" collapsed="false">
      <c r="A409" s="3" t="n">
        <v>45925</v>
      </c>
      <c r="B409" s="4" t="s">
        <v>23</v>
      </c>
      <c r="C409" s="4" t="s">
        <v>8</v>
      </c>
      <c r="D409" s="4" t="s">
        <v>9</v>
      </c>
      <c r="E409" s="5" t="n">
        <v>-2597.59</v>
      </c>
      <c r="F409" s="4" t="str">
        <f aca="false">TEXT(A409,"mmm-yyyy")</f>
        <v>Sep-2025</v>
      </c>
    </row>
    <row r="410" customFormat="false" ht="15" hidden="false" customHeight="false" outlineLevel="0" collapsed="false">
      <c r="A410" s="3" t="n">
        <v>45925</v>
      </c>
      <c r="B410" s="4" t="s">
        <v>24</v>
      </c>
      <c r="C410" s="4" t="s">
        <v>8</v>
      </c>
      <c r="D410" s="4" t="s">
        <v>15</v>
      </c>
      <c r="E410" s="5" t="n">
        <v>-4265.47</v>
      </c>
      <c r="F410" s="4" t="str">
        <f aca="false">TEXT(A410,"mmm-yyyy")</f>
        <v>Sep-2025</v>
      </c>
    </row>
    <row r="411" customFormat="false" ht="15" hidden="false" customHeight="false" outlineLevel="0" collapsed="false">
      <c r="A411" s="3" t="n">
        <v>45925</v>
      </c>
      <c r="B411" s="4" t="s">
        <v>7</v>
      </c>
      <c r="C411" s="4" t="s">
        <v>8</v>
      </c>
      <c r="D411" s="4" t="s">
        <v>9</v>
      </c>
      <c r="E411" s="5" t="n">
        <v>7789.47</v>
      </c>
      <c r="F411" s="4" t="str">
        <f aca="false">TEXT(A411,"mmm-yyyy")</f>
        <v>Sep-2025</v>
      </c>
    </row>
    <row r="412" customFormat="false" ht="15" hidden="false" customHeight="false" outlineLevel="0" collapsed="false">
      <c r="A412" s="3" t="n">
        <v>45925</v>
      </c>
      <c r="B412" s="4" t="s">
        <v>11</v>
      </c>
      <c r="C412" s="4" t="s">
        <v>18</v>
      </c>
      <c r="D412" s="4" t="s">
        <v>10</v>
      </c>
      <c r="E412" s="5" t="n">
        <v>5198.36</v>
      </c>
      <c r="F412" s="4" t="str">
        <f aca="false">TEXT(A412,"mmm-yyyy")</f>
        <v>Sep-2025</v>
      </c>
    </row>
    <row r="413" customFormat="false" ht="15" hidden="false" customHeight="false" outlineLevel="0" collapsed="false">
      <c r="A413" s="3" t="n">
        <v>45925</v>
      </c>
      <c r="B413" s="4" t="s">
        <v>24</v>
      </c>
      <c r="C413" s="4" t="s">
        <v>12</v>
      </c>
      <c r="D413" s="4" t="s">
        <v>15</v>
      </c>
      <c r="E413" s="5" t="n">
        <v>-2406.16</v>
      </c>
      <c r="F413" s="4" t="str">
        <f aca="false">TEXT(A413,"mmm-yyyy")</f>
        <v>Sep-2025</v>
      </c>
    </row>
    <row r="414" customFormat="false" ht="15" hidden="false" customHeight="false" outlineLevel="0" collapsed="false">
      <c r="A414" s="3" t="n">
        <v>45926</v>
      </c>
      <c r="B414" s="4" t="s">
        <v>19</v>
      </c>
      <c r="C414" s="4" t="s">
        <v>12</v>
      </c>
      <c r="D414" s="4" t="s">
        <v>9</v>
      </c>
      <c r="E414" s="5" t="n">
        <v>-3470.39</v>
      </c>
      <c r="F414" s="4" t="str">
        <f aca="false">TEXT(A414,"mmm-yyyy")</f>
        <v>Sep-2025</v>
      </c>
    </row>
    <row r="415" customFormat="false" ht="15" hidden="false" customHeight="false" outlineLevel="0" collapsed="false">
      <c r="A415" s="3" t="n">
        <v>45926</v>
      </c>
      <c r="B415" s="4" t="s">
        <v>21</v>
      </c>
      <c r="C415" s="4" t="s">
        <v>12</v>
      </c>
      <c r="D415" s="4" t="s">
        <v>15</v>
      </c>
      <c r="E415" s="5" t="n">
        <v>-2963.81</v>
      </c>
      <c r="F415" s="4" t="str">
        <f aca="false">TEXT(A415,"mmm-yyyy")</f>
        <v>Sep-2025</v>
      </c>
    </row>
    <row r="416" customFormat="false" ht="15" hidden="false" customHeight="false" outlineLevel="0" collapsed="false">
      <c r="A416" s="3" t="n">
        <v>45926</v>
      </c>
      <c r="B416" s="4" t="s">
        <v>22</v>
      </c>
      <c r="C416" s="4" t="s">
        <v>8</v>
      </c>
      <c r="D416" s="4" t="s">
        <v>10</v>
      </c>
      <c r="E416" s="5" t="n">
        <v>-1237.31</v>
      </c>
      <c r="F416" s="4" t="str">
        <f aca="false">TEXT(A416,"mmm-yyyy")</f>
        <v>Sep-2025</v>
      </c>
    </row>
    <row r="417" customFormat="false" ht="15" hidden="false" customHeight="false" outlineLevel="0" collapsed="false">
      <c r="A417" s="3" t="n">
        <v>45929</v>
      </c>
      <c r="B417" s="4" t="s">
        <v>23</v>
      </c>
      <c r="C417" s="4" t="s">
        <v>14</v>
      </c>
      <c r="D417" s="4" t="s">
        <v>15</v>
      </c>
      <c r="E417" s="5" t="n">
        <v>-2581.03</v>
      </c>
      <c r="F417" s="4" t="str">
        <f aca="false">TEXT(A417,"mmm-yyyy")</f>
        <v>Sep-2025</v>
      </c>
    </row>
    <row r="418" customFormat="false" ht="15" hidden="false" customHeight="false" outlineLevel="0" collapsed="false">
      <c r="A418" s="3" t="n">
        <v>45929</v>
      </c>
      <c r="B418" s="4" t="s">
        <v>19</v>
      </c>
      <c r="C418" s="4" t="s">
        <v>14</v>
      </c>
      <c r="D418" s="4" t="s">
        <v>10</v>
      </c>
      <c r="E418" s="5" t="n">
        <v>-2645.96</v>
      </c>
      <c r="F418" s="4" t="str">
        <f aca="false">TEXT(A418,"mmm-yyyy")</f>
        <v>Sep-2025</v>
      </c>
    </row>
    <row r="419" customFormat="false" ht="15" hidden="false" customHeight="false" outlineLevel="0" collapsed="false">
      <c r="A419" s="3" t="n">
        <v>45930</v>
      </c>
      <c r="B419" s="4" t="s">
        <v>24</v>
      </c>
      <c r="C419" s="4" t="s">
        <v>14</v>
      </c>
      <c r="D419" s="4" t="s">
        <v>9</v>
      </c>
      <c r="E419" s="5" t="n">
        <v>-1926.35</v>
      </c>
      <c r="F419" s="4" t="str">
        <f aca="false">TEXT(A419,"mmm-yyyy")</f>
        <v>Sep-2025</v>
      </c>
    </row>
    <row r="420" customFormat="false" ht="15" hidden="false" customHeight="false" outlineLevel="0" collapsed="false">
      <c r="A420" s="3" t="n">
        <v>45930</v>
      </c>
      <c r="B420" s="4" t="s">
        <v>17</v>
      </c>
      <c r="C420" s="4" t="s">
        <v>18</v>
      </c>
      <c r="D420" s="4" t="s">
        <v>9</v>
      </c>
      <c r="E420" s="5" t="n">
        <v>-3448.92</v>
      </c>
      <c r="F420" s="4" t="str">
        <f aca="false">TEXT(A420,"mmm-yyyy")</f>
        <v>Sep-2025</v>
      </c>
    </row>
    <row r="421" customFormat="false" ht="15" hidden="false" customHeight="false" outlineLevel="0" collapsed="false">
      <c r="A421" s="3" t="n">
        <v>45930</v>
      </c>
      <c r="B421" s="4" t="s">
        <v>23</v>
      </c>
      <c r="C421" s="4" t="s">
        <v>12</v>
      </c>
      <c r="D421" s="4" t="s">
        <v>9</v>
      </c>
      <c r="E421" s="5" t="n">
        <v>-3738.11</v>
      </c>
      <c r="F421" s="4" t="str">
        <f aca="false">TEXT(A421,"mmm-yyyy")</f>
        <v>Sep-2025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6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7" t="s">
        <v>1</v>
      </c>
      <c r="B4" s="7" t="s">
        <v>27</v>
      </c>
    </row>
    <row r="5" customFormat="false" ht="15" hidden="false" customHeight="false" outlineLevel="0" collapsed="false">
      <c r="A5" s="8" t="s">
        <v>19</v>
      </c>
      <c r="B5" s="9" t="n">
        <v>-19000</v>
      </c>
    </row>
    <row r="6" customFormat="false" ht="15" hidden="false" customHeight="false" outlineLevel="0" collapsed="false">
      <c r="A6" s="8" t="s">
        <v>23</v>
      </c>
      <c r="B6" s="9" t="n">
        <v>-7500</v>
      </c>
    </row>
    <row r="7" customFormat="false" ht="15" hidden="false" customHeight="false" outlineLevel="0" collapsed="false">
      <c r="A7" s="8" t="s">
        <v>24</v>
      </c>
      <c r="B7" s="9" t="n">
        <v>-11500</v>
      </c>
    </row>
    <row r="8" customFormat="false" ht="15" hidden="false" customHeight="false" outlineLevel="0" collapsed="false">
      <c r="A8" s="8" t="s">
        <v>21</v>
      </c>
      <c r="B8" s="9" t="n">
        <v>-9500</v>
      </c>
    </row>
    <row r="9" customFormat="false" ht="15" hidden="false" customHeight="false" outlineLevel="0" collapsed="false">
      <c r="A9" s="8" t="s">
        <v>20</v>
      </c>
      <c r="B9" s="9" t="n">
        <v>-6200</v>
      </c>
    </row>
    <row r="10" customFormat="false" ht="15" hidden="false" customHeight="false" outlineLevel="0" collapsed="false">
      <c r="A10" s="8" t="s">
        <v>22</v>
      </c>
      <c r="B10" s="9" t="n">
        <v>-6800</v>
      </c>
    </row>
    <row r="11" customFormat="false" ht="15" hidden="false" customHeight="false" outlineLevel="0" collapsed="false">
      <c r="A11" s="8" t="s">
        <v>16</v>
      </c>
      <c r="B11" s="9" t="n">
        <v>-11000</v>
      </c>
    </row>
    <row r="12" customFormat="false" ht="15" hidden="false" customHeight="false" outlineLevel="0" collapsed="false">
      <c r="A12" s="8" t="s">
        <v>17</v>
      </c>
      <c r="B12" s="9" t="n">
        <v>-4200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6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6" t="s">
        <v>28</v>
      </c>
    </row>
    <row r="2" customFormat="false" ht="15" hidden="false" customHeight="false" outlineLevel="0" collapsed="false">
      <c r="A2" s="2" t="s">
        <v>29</v>
      </c>
    </row>
    <row r="4" customFormat="false" ht="15" hidden="false" customHeight="false" outlineLevel="0" collapsed="false">
      <c r="A4" s="10" t="s">
        <v>30</v>
      </c>
      <c r="B4" s="11" t="n">
        <f aca="false">SUMIFS(Transactions!E2:E421,Transactions!B2:B421,"Revenue - Sales")+SUMIFS(Transactions!E2:E421,Transactions!B2:B421,"Revenue - Services")</f>
        <v>1481191.32</v>
      </c>
    </row>
    <row r="5" customFormat="false" ht="15" hidden="false" customHeight="false" outlineLevel="0" collapsed="false">
      <c r="A5" s="10" t="s">
        <v>31</v>
      </c>
      <c r="B5" s="11" t="n">
        <f aca="false">SUMIFS(Transactions!E2:E421,Transactions!E2:E421,"&lt;0")</f>
        <v>-656003.76</v>
      </c>
    </row>
    <row r="6" customFormat="false" ht="15" hidden="false" customHeight="false" outlineLevel="0" collapsed="false">
      <c r="A6" s="10" t="s">
        <v>32</v>
      </c>
      <c r="B6" s="11" t="n">
        <f aca="false">B4+B5</f>
        <v>825187.56</v>
      </c>
    </row>
    <row r="7" customFormat="false" ht="15" hidden="false" customHeight="false" outlineLevel="0" collapsed="false">
      <c r="A7" s="10" t="s">
        <v>33</v>
      </c>
      <c r="B7" s="11" t="n">
        <f aca="false">B5/9</f>
        <v>-72889.3066666667</v>
      </c>
    </row>
    <row r="9" customFormat="false" ht="15" hidden="false" customHeight="false" outlineLevel="0" collapsed="false">
      <c r="A9" s="1" t="s">
        <v>1</v>
      </c>
      <c r="B9" s="1" t="s">
        <v>34</v>
      </c>
      <c r="C9" s="1" t="s">
        <v>35</v>
      </c>
      <c r="D9" s="1" t="s">
        <v>36</v>
      </c>
      <c r="E9" s="1" t="s">
        <v>37</v>
      </c>
    </row>
    <row r="10" customFormat="false" ht="15" hidden="false" customHeight="false" outlineLevel="0" collapsed="false">
      <c r="A10" s="8" t="s">
        <v>19</v>
      </c>
      <c r="B10" s="12" t="n">
        <f aca="false">SUMIFS(Transactions!E2:E421,Transactions!B2:B421,A10)</f>
        <v>-172136.27</v>
      </c>
      <c r="C10" s="12" t="n">
        <f aca="false">INDEX(Assumptions!$B$5:$B$12,MATCH(A10,Assumptions!$A$5:$A$12,0))*9</f>
        <v>-171000</v>
      </c>
      <c r="D10" s="12" t="n">
        <f aca="false">B10-C10</f>
        <v>-1136.26999999999</v>
      </c>
      <c r="E10" s="13" t="n">
        <f aca="false">IFERROR(D10/ABS(C10),"n/a")</f>
        <v>-0.00664485380116953</v>
      </c>
    </row>
    <row r="11" customFormat="false" ht="15" hidden="false" customHeight="false" outlineLevel="0" collapsed="false">
      <c r="A11" s="8" t="s">
        <v>23</v>
      </c>
      <c r="B11" s="12" t="n">
        <f aca="false">SUMIFS(Transactions!E2:E421,Transactions!B2:B421,A11)</f>
        <v>-63242.94</v>
      </c>
      <c r="C11" s="12" t="n">
        <f aca="false">INDEX(Assumptions!$B$5:$B$12,MATCH(A11,Assumptions!$A$5:$A$12,0))*9</f>
        <v>-67500</v>
      </c>
      <c r="D11" s="12" t="n">
        <f aca="false">B11-C11</f>
        <v>4257.06</v>
      </c>
      <c r="E11" s="13" t="n">
        <f aca="false">IFERROR(D11/ABS(C11),"n/a")</f>
        <v>0.0630675555555555</v>
      </c>
    </row>
    <row r="12" customFormat="false" ht="15" hidden="false" customHeight="false" outlineLevel="0" collapsed="false">
      <c r="A12" s="8" t="s">
        <v>24</v>
      </c>
      <c r="B12" s="12" t="n">
        <f aca="false">SUMIFS(Transactions!E2:E421,Transactions!B2:B421,A12)</f>
        <v>-100476</v>
      </c>
      <c r="C12" s="12" t="n">
        <f aca="false">INDEX(Assumptions!$B$5:$B$12,MATCH(A12,Assumptions!$A$5:$A$12,0))*9</f>
        <v>-103500</v>
      </c>
      <c r="D12" s="12" t="n">
        <f aca="false">B12-C12</f>
        <v>3024</v>
      </c>
      <c r="E12" s="13" t="n">
        <f aca="false">IFERROR(D12/ABS(C12),"n/a")</f>
        <v>0.0292173913043478</v>
      </c>
    </row>
    <row r="13" customFormat="false" ht="15" hidden="false" customHeight="false" outlineLevel="0" collapsed="false">
      <c r="A13" s="8" t="s">
        <v>21</v>
      </c>
      <c r="B13" s="12" t="n">
        <f aca="false">SUMIFS(Transactions!E2:E421,Transactions!B2:B421,A13)</f>
        <v>-80513.48</v>
      </c>
      <c r="C13" s="12" t="n">
        <f aca="false">INDEX(Assumptions!$B$5:$B$12,MATCH(A13,Assumptions!$A$5:$A$12,0))*9</f>
        <v>-85500</v>
      </c>
      <c r="D13" s="12" t="n">
        <f aca="false">B13-C13</f>
        <v>4986.52</v>
      </c>
      <c r="E13" s="13" t="n">
        <f aca="false">IFERROR(D13/ABS(C13),"n/a")</f>
        <v>0.0583218713450293</v>
      </c>
    </row>
    <row r="14" customFormat="false" ht="15" hidden="false" customHeight="false" outlineLevel="0" collapsed="false">
      <c r="A14" s="8" t="s">
        <v>20</v>
      </c>
      <c r="B14" s="12" t="n">
        <f aca="false">SUMIFS(Transactions!E2:E421,Transactions!B2:B421,A14)</f>
        <v>-51974.82</v>
      </c>
      <c r="C14" s="12" t="n">
        <f aca="false">INDEX(Assumptions!$B$5:$B$12,MATCH(A14,Assumptions!$A$5:$A$12,0))*9</f>
        <v>-55800</v>
      </c>
      <c r="D14" s="12" t="n">
        <f aca="false">B14-C14</f>
        <v>3825.18</v>
      </c>
      <c r="E14" s="13" t="n">
        <f aca="false">IFERROR(D14/ABS(C14),"n/a")</f>
        <v>0.0685516129032258</v>
      </c>
    </row>
    <row r="15" customFormat="false" ht="15" hidden="false" customHeight="false" outlineLevel="0" collapsed="false">
      <c r="A15" s="8" t="s">
        <v>22</v>
      </c>
      <c r="B15" s="12" t="n">
        <f aca="false">SUMIFS(Transactions!E2:E421,Transactions!B2:B421,A15)</f>
        <v>-50747.29</v>
      </c>
      <c r="C15" s="12" t="n">
        <f aca="false">INDEX(Assumptions!$B$5:$B$12,MATCH(A15,Assumptions!$A$5:$A$12,0))*9</f>
        <v>-61200</v>
      </c>
      <c r="D15" s="12" t="n">
        <f aca="false">B15-C15</f>
        <v>10452.71</v>
      </c>
      <c r="E15" s="13" t="n">
        <f aca="false">IFERROR(D15/ABS(C15),"n/a")</f>
        <v>0.17079591503268</v>
      </c>
    </row>
    <row r="16" customFormat="false" ht="15" hidden="false" customHeight="false" outlineLevel="0" collapsed="false">
      <c r="A16" s="8" t="s">
        <v>16</v>
      </c>
      <c r="B16" s="12" t="n">
        <f aca="false">SUMIFS(Transactions!E2:E421,Transactions!B2:B421,A16)</f>
        <v>-90585.22</v>
      </c>
      <c r="C16" s="12" t="n">
        <f aca="false">INDEX(Assumptions!$B$5:$B$12,MATCH(A16,Assumptions!$A$5:$A$12,0))*9</f>
        <v>-99000</v>
      </c>
      <c r="D16" s="12" t="n">
        <f aca="false">B16-C16</f>
        <v>8414.78</v>
      </c>
      <c r="E16" s="13" t="n">
        <f aca="false">IFERROR(D16/ABS(C16),"n/a")</f>
        <v>0.0849977777777778</v>
      </c>
    </row>
    <row r="17" customFormat="false" ht="15" hidden="false" customHeight="false" outlineLevel="0" collapsed="false">
      <c r="A17" s="8" t="s">
        <v>17</v>
      </c>
      <c r="B17" s="12" t="n">
        <f aca="false">SUMIFS(Transactions!E2:E421,Transactions!B2:B421,A17)</f>
        <v>-31638.51</v>
      </c>
      <c r="C17" s="12" t="n">
        <f aca="false">INDEX(Assumptions!$B$5:$B$12,MATCH(A17,Assumptions!$A$5:$A$12,0))*9</f>
        <v>-37800</v>
      </c>
      <c r="D17" s="12" t="n">
        <f aca="false">B17-C17</f>
        <v>6161.49</v>
      </c>
      <c r="E17" s="13" t="n">
        <f aca="false">IFERROR(D17/ABS(C17),"n/a")</f>
        <v>0.163002380952381</v>
      </c>
    </row>
    <row r="20" customFormat="false" ht="15" hidden="false" customHeight="false" outlineLevel="0" collapsed="false">
      <c r="A20" s="14" t="s">
        <v>38</v>
      </c>
    </row>
    <row r="21" customFormat="false" ht="15" hidden="false" customHeight="false" outlineLevel="0" collapsed="false">
      <c r="A21" s="7" t="s">
        <v>5</v>
      </c>
      <c r="B21" s="7" t="s">
        <v>39</v>
      </c>
      <c r="C21" s="7" t="s">
        <v>40</v>
      </c>
    </row>
    <row r="22" customFormat="false" ht="15" hidden="false" customHeight="false" outlineLevel="0" collapsed="false">
      <c r="A22" s="8" t="s">
        <v>41</v>
      </c>
      <c r="B22" s="15" t="n">
        <f aca="false">SUMIFS(Transactions!$E$2:$E$421,Transactions!$F$2:$F$421,A22,Transactions!$B$2:$B$421,"Revenue - Sales")+SUMIFS(Transactions!$E$2:$E$421,Transactions!$F$2:$F$421,A22,Transactions!$B$2:$B$421,"Revenue - Services")</f>
        <v>178225.11</v>
      </c>
      <c r="C22" s="12" t="n">
        <f aca="false">SUMIFS(Transactions!$E$2:$E$421,Transactions!$F$2:$F$421,A22,Transactions!$E$2:$E$421,"&lt;0")</f>
        <v>-86274</v>
      </c>
    </row>
    <row r="23" customFormat="false" ht="15" hidden="false" customHeight="false" outlineLevel="0" collapsed="false">
      <c r="A23" s="8" t="s">
        <v>42</v>
      </c>
      <c r="B23" s="15" t="n">
        <f aca="false">SUMIFS(Transactions!$E$2:$E$421,Transactions!$F$2:$F$421,A23,Transactions!$B$2:$B$421,"Revenue - Sales")+SUMIFS(Transactions!$E$2:$E$421,Transactions!$F$2:$F$421,A23,Transactions!$B$2:$B$421,"Revenue - Services")</f>
        <v>204406.12</v>
      </c>
      <c r="C23" s="12" t="n">
        <f aca="false">SUMIFS(Transactions!$E$2:$E$421,Transactions!$F$2:$F$421,A23,Transactions!$E$2:$E$421,"&lt;0")</f>
        <v>-70115.87</v>
      </c>
    </row>
    <row r="24" customFormat="false" ht="15" hidden="false" customHeight="false" outlineLevel="0" collapsed="false">
      <c r="A24" s="8" t="s">
        <v>43</v>
      </c>
      <c r="B24" s="15" t="n">
        <f aca="false">SUMIFS(Transactions!$E$2:$E$421,Transactions!$F$2:$F$421,A24,Transactions!$B$2:$B$421,"Revenue - Sales")+SUMIFS(Transactions!$E$2:$E$421,Transactions!$F$2:$F$421,A24,Transactions!$B$2:$B$421,"Revenue - Services")</f>
        <v>131739.17</v>
      </c>
      <c r="C24" s="12" t="n">
        <f aca="false">SUMIFS(Transactions!$E$2:$E$421,Transactions!$F$2:$F$421,A24,Transactions!$E$2:$E$421,"&lt;0")</f>
        <v>-68621.2</v>
      </c>
    </row>
    <row r="25" customFormat="false" ht="15" hidden="false" customHeight="false" outlineLevel="0" collapsed="false">
      <c r="A25" s="8" t="s">
        <v>44</v>
      </c>
      <c r="B25" s="15" t="n">
        <f aca="false">SUMIFS(Transactions!$E$2:$E$421,Transactions!$F$2:$F$421,A25,Transactions!$B$2:$B$421,"Revenue - Sales")+SUMIFS(Transactions!$E$2:$E$421,Transactions!$F$2:$F$421,A25,Transactions!$B$2:$B$421,"Revenue - Services")</f>
        <v>115018.07</v>
      </c>
      <c r="C25" s="12" t="n">
        <f aca="false">SUMIFS(Transactions!$E$2:$E$421,Transactions!$F$2:$F$421,A25,Transactions!$E$2:$E$421,"&lt;0")</f>
        <v>-68878.74</v>
      </c>
    </row>
    <row r="26" customFormat="false" ht="15" hidden="false" customHeight="false" outlineLevel="0" collapsed="false">
      <c r="A26" s="8" t="s">
        <v>45</v>
      </c>
      <c r="B26" s="15" t="n">
        <f aca="false">SUMIFS(Transactions!$E$2:$E$421,Transactions!$F$2:$F$421,A26,Transactions!$B$2:$B$421,"Revenue - Sales")+SUMIFS(Transactions!$E$2:$E$421,Transactions!$F$2:$F$421,A26,Transactions!$B$2:$B$421,"Revenue - Services")</f>
        <v>213025.24</v>
      </c>
      <c r="C26" s="12" t="n">
        <f aca="false">SUMIFS(Transactions!$E$2:$E$421,Transactions!$F$2:$F$421,A26,Transactions!$E$2:$E$421,"&lt;0")</f>
        <v>-67462.67</v>
      </c>
    </row>
    <row r="27" customFormat="false" ht="15" hidden="false" customHeight="false" outlineLevel="0" collapsed="false">
      <c r="A27" s="8" t="s">
        <v>46</v>
      </c>
      <c r="B27" s="15" t="n">
        <f aca="false">SUMIFS(Transactions!$E$2:$E$421,Transactions!$F$2:$F$421,A27,Transactions!$B$2:$B$421,"Revenue - Sales")+SUMIFS(Transactions!$E$2:$E$421,Transactions!$F$2:$F$421,A27,Transactions!$B$2:$B$421,"Revenue - Services")</f>
        <v>196832</v>
      </c>
      <c r="C27" s="12" t="n">
        <f aca="false">SUMIFS(Transactions!$E$2:$E$421,Transactions!$F$2:$F$421,A27,Transactions!$E$2:$E$421,"&lt;0")</f>
        <v>-50198.83</v>
      </c>
    </row>
    <row r="28" customFormat="false" ht="15" hidden="false" customHeight="false" outlineLevel="0" collapsed="false">
      <c r="A28" s="8" t="s">
        <v>47</v>
      </c>
      <c r="B28" s="15" t="n">
        <f aca="false">SUMIFS(Transactions!$E$2:$E$421,Transactions!$F$2:$F$421,A28,Transactions!$B$2:$B$421,"Revenue - Sales")+SUMIFS(Transactions!$E$2:$E$421,Transactions!$F$2:$F$421,A28,Transactions!$B$2:$B$421,"Revenue - Services")</f>
        <v>194842.48</v>
      </c>
      <c r="C28" s="12" t="n">
        <f aca="false">SUMIFS(Transactions!$E$2:$E$421,Transactions!$F$2:$F$421,A28,Transactions!$E$2:$E$421,"&lt;0")</f>
        <v>-69978.48</v>
      </c>
    </row>
    <row r="29" customFormat="false" ht="15" hidden="false" customHeight="false" outlineLevel="0" collapsed="false">
      <c r="A29" s="8" t="s">
        <v>48</v>
      </c>
      <c r="B29" s="15" t="n">
        <f aca="false">SUMIFS(Transactions!$E$2:$E$421,Transactions!$F$2:$F$421,A29,Transactions!$B$2:$B$421,"Revenue - Sales")+SUMIFS(Transactions!$E$2:$E$421,Transactions!$F$2:$F$421,A29,Transactions!$B$2:$B$421,"Revenue - Services")</f>
        <v>133552.37</v>
      </c>
      <c r="C29" s="12" t="n">
        <f aca="false">SUMIFS(Transactions!$E$2:$E$421,Transactions!$F$2:$F$421,A29,Transactions!$E$2:$E$421,"&lt;0")</f>
        <v>-101694.72</v>
      </c>
    </row>
    <row r="30" customFormat="false" ht="15" hidden="false" customHeight="false" outlineLevel="0" collapsed="false">
      <c r="A30" s="8" t="s">
        <v>49</v>
      </c>
      <c r="B30" s="15" t="n">
        <f aca="false">SUMIFS(Transactions!$E$2:$E$421,Transactions!$F$2:$F$421,A30,Transactions!$B$2:$B$421,"Revenue - Sales")+SUMIFS(Transactions!$E$2:$E$421,Transactions!$F$2:$F$421,A30,Transactions!$B$2:$B$421,"Revenue - Services")</f>
        <v>113550.76</v>
      </c>
      <c r="C30" s="12" t="n">
        <f aca="false">SUMIFS(Transactions!$E$2:$E$421,Transactions!$F$2:$F$421,A30,Transactions!$E$2:$E$421,"&lt;0")</f>
        <v>-72779.25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19.7" hidden="false" customHeight="false" outlineLevel="0" collapsed="false">
      <c r="A1" s="6" t="s">
        <v>50</v>
      </c>
    </row>
    <row r="2" customFormat="false" ht="15" hidden="false" customHeight="false" outlineLevel="0" collapsed="false">
      <c r="A2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2026-09-15T10:18:08Z</dcterms:created>
  <dc:creator>openpyxl</dc:creator>
  <dc:description/>
  <dc:language>en-US</dc:language>
  <cp:lastModifiedBy/>
  <dcterms:modified xsi:type="dcterms:W3CDTF">2026-09-15T10:18:10Z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